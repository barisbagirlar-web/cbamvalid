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README" sheetId="1" r:id="rId1"/>
    <sheet name="CASE" sheetId="2" r:id="rId2"/>
    <sheet name="Goods" sheetId="3" r:id="rId3"/>
    <sheet name="Executive Summary" sheetId="4" r:id="rId4"/>
    <sheet name="Activity Data" sheetId="5" r:id="rId5"/>
    <sheet name="Precursors" sheetId="6" r:id="rId6"/>
    <sheet name="Evidence Register" sheetId="7" r:id="rId7"/>
    <sheet name="METHODS" sheetId="8" r:id="rId8"/>
    <sheet name="Monitoring Plan" sheetId="9" r:id="rId9"/>
    <sheet name="QUALITY_CONTROLS" sheetId="10" r:id="rId10"/>
    <sheet name="Calculations" sheetId="11" r:id="rId11"/>
    <sheet name="CARBON_PRICE" sheetId="12" r:id="rId12"/>
    <sheet name="LEGAL_SOURCES" sheetId="13" r:id="rId13"/>
    <sheet name="Operator" sheetId="14" r:id="rId14"/>
    <sheet name="Installation" sheetId="15" r:id="rId15"/>
    <sheet name="Source Streams" sheetId="16" r:id="rId16"/>
    <sheet name="Emission Sources" sheetId="17" r:id="rId17"/>
    <sheet name="Meters" sheetId="18" r:id="rId18"/>
    <sheet name="Allocation" sheetId="19" r:id="rId19"/>
    <sheet name="Evidence Matrix" sheetId="20" r:id="rId20"/>
    <sheet name="Misstatements" sheetId="21" r:id="rId21"/>
    <sheet name="Non-Conformities" sheetId="22" r:id="rId22"/>
    <sheet name="Corrective Actions" sheetId="23" r:id="rId23"/>
    <sheet name="Registry Crosswalk" sheetId="24" r:id="rId24"/>
    <sheet name="Registry Mapping" sheetId="25" r:id="rId25"/>
    <sheet name="Verifier Team" sheetId="26" r:id="rId26"/>
    <sheet name="Site Visits" sheetId="27" r:id="rId27"/>
    <sheet name="Verifier Opinion" sheetId="28" r:id="rId28"/>
    <sheet name="Version Delta" sheetId="29" r:id="rId29"/>
    <sheet name="Manifest Index" sheetId="30" r:id="rId30"/>
    <sheet name="Risk Register" sheetId="31" r:id="rId31"/>
    <sheet name="Materiality" sheetId="32" r:id="rId32"/>
    <sheet name="Sampling Plan" sheetId="33" r:id="rId33"/>
    <sheet name="VERIFIER_SIGN_OFF" sheetId="34" r:id="rId34"/>
  </sheets>
  <calcPr calcId="191029" fullCalcOnLoad="1" forceFullCalc="1"/>
</workbook>
</file>

<file path=xl/styles.xml><?xml version="1.0" encoding="utf-8"?>
<styleSheet xmlns="http://schemas.openxmlformats.org/spreadsheetml/2006/main">
  <numFmts count="2">
    <numFmt numFmtId="164" formatCode="0.000000"/>
    <numFmt numFmtId="165" formatCode="0.00%"/>
  </numFmts>
  <fonts count="5">
    <font>
      <sz val="10"/>
      <name val="Aptos"/>
    </font>
    <font>
      <b/>
      <color rgb="FFFFFFFF"/>
      <sz val="10"/>
      <name val="Aptos Display"/>
    </font>
    <font>
      <b/>
      <color rgb="FF142A4A"/>
      <sz val="11"/>
      <name val="Aptos Display"/>
    </font>
    <font>
      <color rgb="FF0563C1"/>
      <u/>
      <sz val="10"/>
      <name val="Aptos"/>
    </font>
    <font>
      <b/>
      <color rgb="FF142A4A"/>
      <sz val="16"/>
      <name val="Aptos Display"/>
    </font>
  </fonts>
  <fills count="8">
    <fill>
      <patternFill patternType="none"/>
    </fill>
    <fill>
      <patternFill patternType="gray125"/>
    </fill>
    <fill>
      <patternFill patternType="solid">
        <fgColor rgb="FF1F4068"/>
        <bgColor indexed="64"/>
      </patternFill>
    </fill>
    <fill>
      <patternFill patternType="solid">
        <fgColor rgb="FFE7EDF4"/>
        <bgColor indexed="64"/>
      </patternFill>
    </fill>
    <fill>
      <patternFill patternType="solid">
        <fgColor rgb="FFDFF2E3"/>
        <bgColor indexed="64"/>
      </patternFill>
    </fill>
    <fill>
      <patternFill patternType="solid">
        <fgColor rgb="FFFFF1CC"/>
        <bgColor indexed="64"/>
      </patternFill>
    </fill>
    <fill>
      <patternFill patternType="solid">
        <fgColor rgb="FFFDE2E2"/>
        <bgColor indexed="64"/>
      </patternFill>
    </fill>
    <fill>
      <patternFill patternType="solid">
        <fgColor rgb="FFF6F8FA"/>
        <bgColor indexed="64"/>
      </patternFill>
    </fill>
  </fills>
  <borders count="2">
    <border/>
    <border>
      <left style="thin">
        <color rgb="FFD4DAE2"/>
      </left>
      <right style="thin">
        <color rgb="FFD4DAE2"/>
      </right>
      <top style="thin">
        <color rgb="FFD4DAE2"/>
      </top>
      <bottom style="thin">
        <color rgb="FFD4DAE2"/>
      </bottom>
    </border>
  </borders>
  <cellStyleXfs count="1">
    <xf numFmtId="0" fontId="0" fillId="0" borderId="0"/>
  </cellStyleXfs>
  <cellXfs count="12">
    <xf numFmtId="0" fontId="0" fillId="0" borderId="0" xfId="0"/>
    <xf numFmtId="0" fontId="0" fillId="0" borderId="1" xfId="0" applyAlignment="1">
      <alignment vertical="top" wrapText="1"/>
    </xf>
    <xf numFmtId="0" fontId="4" fillId="3" borderId="1" xfId="0" applyAlignment="1">
      <alignment vertical="center" wrapText="1"/>
    </xf>
    <xf numFmtId="0" fontId="1" fillId="2" borderId="1" xfId="0" applyAlignment="1">
      <alignment vertical="center" wrapText="1"/>
    </xf>
    <xf numFmtId="0" fontId="2" fillId="3" borderId="1" xfId="0" applyAlignment="1">
      <alignment vertical="top" wrapText="1"/>
    </xf>
    <xf numFmtId="0" fontId="2" fillId="4" borderId="1" xfId="0" applyAlignment="1">
      <alignment vertical="top" wrapText="1"/>
    </xf>
    <xf numFmtId="0" fontId="2" fillId="5" borderId="1" xfId="0" applyAlignment="1">
      <alignment vertical="top" wrapText="1"/>
    </xf>
    <xf numFmtId="0" fontId="2" fillId="6" borderId="1" xfId="0" applyAlignment="1">
      <alignment vertical="top" wrapText="1"/>
    </xf>
    <xf numFmtId="164" fontId="0" fillId="0" borderId="1" xfId="0" applyNumberFormat="1" applyAlignment="1">
      <alignment vertical="top"/>
    </xf>
    <xf numFmtId="0" fontId="3" fillId="0" borderId="1" xfId="0" applyAlignment="1">
      <alignment vertical="top" wrapText="1"/>
    </xf>
    <xf numFmtId="0" fontId="0" fillId="7" borderId="1" xfId="0" applyProtection="1" applyAlignment="1">
      <alignment vertical="top" wrapText="1"/>
      <protection locked="0"/>
    </xf>
    <xf numFmtId="164" fontId="2" fillId="3" borderId="1" xfId="0" applyNumberFormat="1" applyAlignment="1">
      <alignment vertical="top"/>
    </xf>
  </cellXfs>
  <cellStyles count="1">
    <cellStyle name="Normal" xfId="0" builtinId="0"/>
  </cellStyles>
  <dxfs count="3">
    <dxf>
      <fill>
        <patternFill patternType="solid">
          <fgColor rgb="FFDFF2E3"/>
        </patternFill>
      </fill>
    </dxf>
    <dxf>
      <fill>
        <patternFill patternType="solid">
          <fgColor rgb="FFFFF1CC"/>
        </patternFill>
      </fill>
    </dxf>
    <dxf>
      <fill>
        <patternFill patternType="solid">
          <fgColor rgb="FFFDE2E2"/>
        </patternFill>
      </fill>
    </dxf>
  </dxfs>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styles" Target="styles.xml"/></Relationships>
</file>

<file path=xl/worksheets/_rels/sheet13.xml.rels><?xml version="1.0" encoding="UTF-8" standalone="yes"?><Relationships xmlns="http://schemas.openxmlformats.org/package/2006/relationships"><Relationship Id="rId1" Type="http://schemas.openxmlformats.org/officeDocument/2006/relationships/hyperlink" Target="https://eur-lex.europa.eu/eli/reg/2023/956/oj/eng" TargetMode="External"/><Relationship Id="rId2" Type="http://schemas.openxmlformats.org/officeDocument/2006/relationships/hyperlink" Target="https://eur-lex.europa.eu/eli/reg/2025/2083/oj/eng" TargetMode="External"/><Relationship Id="rId3" Type="http://schemas.openxmlformats.org/officeDocument/2006/relationships/hyperlink" Target="https://eur-lex.europa.eu/eli/reg_impl/2025/2546/oj/eng" TargetMode="External"/><Relationship Id="rId4" Type="http://schemas.openxmlformats.org/officeDocument/2006/relationships/hyperlink" Target="https://eur-lex.europa.eu/eli/reg_impl/2025/2547/oj/eng" TargetMode="External"/><Relationship Id="rId5" Type="http://schemas.openxmlformats.org/officeDocument/2006/relationships/hyperlink" Target="https://eur-lex.europa.eu/eli/reg_impl/2025/2548/oj/eng" TargetMode="External"/><Relationship Id="rId6" Type="http://schemas.openxmlformats.org/officeDocument/2006/relationships/hyperlink" Target="https://eur-lex.europa.eu/eli/reg_del/2025/2551/oj/eng" TargetMode="External"/></Relationships>
</file>

<file path=xl/worksheets/sheet1.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34" customWidth="1"/>
    <col min="2" max="2" width="82" customWidth="1"/>
    <col min="3" max="3" width="28" customWidth="1"/>
    <col min="4" max="4" width="30" customWidth="1"/>
  </cols>
  <sheetData>
    <row r="1" ht="24" customHeight="1">
      <c r="A1" t="inlineStr" s="2">
        <is>
          <t xml:space="preserve">CBAMValid — Independent Verification Preparation Workspace</t>
        </is>
      </c>
    </row>
    <row r="2">
      <c r="A2" t="inlineStr" s="4">
        <is>
          <t xml:space="preserve">Document classification</t>
        </is>
      </c>
      <c r="B2" t="inlineStr" s="1">
        <is>
          <t xml:space="preserve">CONFIDENTIAL - VERIFIER PREPARATION WORKSPACE</t>
        </is>
      </c>
      <c r="C2" t="inlineStr" s="4">
        <is>
          <t xml:space="preserve">Release</t>
        </is>
      </c>
      <c r="D2" s="8">
        <v>5</v>
      </c>
    </row>
    <row r="3">
      <c r="A3" t="inlineStr" s="4">
        <is>
          <t xml:space="preserve">Package ID</t>
        </is>
      </c>
      <c r="B3" t="inlineStr" s="1">
        <is>
          <t xml:space="preserve">A1111</t>
        </is>
      </c>
      <c r="C3" t="inlineStr" s="4">
        <is>
          <t xml:space="preserve">Generated</t>
        </is>
      </c>
      <c r="D3" t="inlineStr" s="1">
        <is>
          <t xml:space="preserve">2027-01-15T12:00:00.000Z</t>
        </is>
      </c>
    </row>
    <row r="4">
      <c r="A4" t="inlineStr" s="4">
        <is>
          <t xml:space="preserve">Technical Report ID</t>
        </is>
      </c>
      <c r="B4" t="inlineStr" s="1">
        <is>
          <t xml:space="preserve">report_aaaaaaaaaaaaaaaaaaaaaaaaaaaaaaaaaaaaaaaaaaaaaaaaaaaaaaaaaaaaaaaa</t>
        </is>
      </c>
      <c r="C4" t="inlineStr" s="4">
        <is>
          <t xml:space="preserve">Case ID</t>
        </is>
      </c>
      <c r="D4" t="inlineStr" s="1">
        <is>
          <t xml:space="preserve">case_verifier_grade_fixture</t>
        </is>
      </c>
    </row>
    <row r="5">
      <c r="A5" t="inlineStr" s="4">
        <is>
          <t xml:space="preserve">Ruleset</t>
        </is>
      </c>
      <c r="B5" t="inlineStr" s="1">
        <is>
          <t xml:space="preserve">3.0.0 · CBAM Definitive Regime 2026</t>
        </is>
      </c>
      <c r="C5" t="inlineStr" s="4">
        <is>
          <t xml:space="preserve">Materiality rate</t>
        </is>
      </c>
      <c r="D5" t="inlineStr" s="1">
        <is>
          <t xml:space="preserve">5% per good — PROVISIONAL_FOR_VERIFIER_PLANNING</t>
        </is>
      </c>
    </row>
    <row r="6">
      <c r="A6" t="inlineStr" s="4">
        <is>
          <t xml:space="preserve">Automated readiness</t>
        </is>
      </c>
      <c r="B6" t="inlineStr" s="5">
        <is>
          <t xml:space="preserve">READY_FOR_INDEPENDENT_VERIFICATION</t>
        </is>
      </c>
      <c r="C6" t="inlineStr" s="4">
        <is>
          <t xml:space="preserve">Independent verifier status</t>
        </is>
      </c>
      <c r="D6" t="inlineStr" s="6">
        <is>
          <t xml:space="preserve">NOT_REVIEWED</t>
        </is>
      </c>
    </row>
    <row r="7">
      <c r="A7" t="inlineStr" s="4">
        <is>
          <t xml:space="preserve">Calculation root hash</t>
        </is>
      </c>
      <c r="B7" t="inlineStr" s="1">
        <is>
          <t xml:space="preserve">9974e21ed553c7a029348d88c16204a5c9107d0f3cf4780eb8f137ab077ee62d</t>
        </is>
      </c>
      <c r="C7" t="inlineStr" s="4">
        <is>
          <t xml:space="preserve">Source registry hash</t>
        </is>
      </c>
      <c r="D7" t="inlineStr" s="1">
        <is>
          <t xml:space="preserve">e6a3338b06245293e69e291c4604861aefc6497021406d94e1d735f9baa46666</t>
        </is>
      </c>
    </row>
    <row r="8">
      <c r="A8" t="inlineStr" s="4">
        <is>
          <t xml:space="preserve">Quality controls</t>
        </is>
      </c>
      <c r="B8" t="inlineStr" s="1">
        <is>
          <t xml:space="preserve">Calculated below</t>
        </is>
      </c>
      <c r="C8" t="inlineStr" s="4">
        <is>
          <t xml:space="preserve">Package boundary</t>
        </is>
      </c>
      <c r="D8" t="inlineStr" s="1">
        <is>
          <t xml:space="preserve">Sealed operator preparation</t>
        </is>
      </c>
    </row>
    <row r="9">
      <c r="A9" t="inlineStr" s="4">
        <is>
          <t xml:space="preserve">Passed</t>
        </is>
      </c>
      <c r="B9" s="11">
        <f>COUNTIF(QUALITY_CONTROLS!C:C,"PASS")</f>
        <v>18</v>
      </c>
      <c r="C9" t="inlineStr" s="4">
        <is>
          <t xml:space="preserve">Blockers</t>
        </is>
      </c>
      <c r="D9" s="11">
        <f>COUNTIF(QUALITY_CONTROLS!C:C,"BLOCKER")</f>
        <v>0</v>
      </c>
    </row>
    <row r="10">
      <c r="A10" t="inlineStr" s="4">
        <is>
          <t xml:space="preserve">Warnings</t>
        </is>
      </c>
      <c r="B10" s="11">
        <f>COUNTIF(QUALITY_CONTROLS!C:C,"WARNING")</f>
        <v>0</v>
      </c>
      <c r="C10" t="inlineStr" s="4">
        <is>
          <t xml:space="preserve">Monitoring-plan gaps</t>
        </is>
      </c>
      <c r="D10" s="11">
        <f>COUNTIF('Monitoring Plan'!C:C,"GAP")</f>
        <v>0</v>
      </c>
    </row>
    <row r="11">
      <c r="A11" t="inlineStr" s="4">
        <is>
          <t xml:space="preserve">Evidence files</t>
        </is>
      </c>
      <c r="B11" s="11">
        <f>COUNTA('Evidence Register'!A2:A1048576)</f>
        <v>5</v>
      </c>
      <c r="C11" t="inlineStr" s="4">
        <is>
          <t xml:space="preserve">Approved clean evidence</t>
        </is>
      </c>
      <c r="D11" s="8">
        <v>5</v>
      </c>
    </row>
    <row r="12">
      <c r="A12" t="inlineStr" s="4">
        <is>
          <t xml:space="preserve">Evidence coverage</t>
        </is>
      </c>
      <c r="B12" t="inlineStr" s="1">
        <is>
          <t xml:space="preserve">100%</t>
        </is>
      </c>
      <c r="C12" t="inlineStr" s="4">
        <is>
          <t xml:space="preserve">Duplicate hashes</t>
        </is>
      </c>
      <c r="D12" s="5">
        <v>0</v>
      </c>
    </row>
    <row r="13">
      <c r="A13" t="inlineStr" s="4">
        <is>
          <t xml:space="preserve">Package boundary</t>
        </is>
      </c>
      <c r="B13" t="inlineStr" s="1">
        <is>
          <t xml:space="preserve">This package supports preparation for independent verification. It is not a verification opinion, accreditation decision, customs decision, CBAM Registry submission or acceptance guarantee.</t>
        </is>
      </c>
    </row>
    <row r="14">
      <c r="A14" t="inlineStr" s="4">
        <is>
          <t xml:space="preserve">Instructions</t>
        </is>
      </c>
      <c r="B14" t="inlineStr" s="1">
        <is>
          <t xml:space="preserve">Review QUALITY_CONTROLS, 'Monitoring Plan', 'Evidence Register', 'Evidence Matrix', METHODS and 'Calculations'. Record independent conclusions only in VERIFIER_SIGN_OFF. Sealed sheets are protected; editable cells are limited to verifier input fields.</t>
        </is>
      </c>
    </row>
  </sheetData>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2.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32" customWidth="1"/>
    <col min="2" max="2" width="88" customWidth="1"/>
    <col min="3" max="3" width="32" customWidth="1"/>
    <col min="4" max="4" width="58" customWidth="1"/>
  </cols>
  <sheetData>
    <row r="1" ht="24" customHeight="1">
      <c r="A1" t="inlineStr" s="3">
        <is>
          <t xml:space="preserve">Field</t>
        </is>
      </c>
      <c r="B1" t="inlineStr" s="3">
        <is>
          <t xml:space="preserve">Value</t>
        </is>
      </c>
      <c r="C1" t="inlineStr" s="3">
        <is>
          <t xml:space="preserve">Evidence / control</t>
        </is>
      </c>
      <c r="D1" t="inlineStr" s="3">
        <is>
          <t xml:space="preserve">Status</t>
        </is>
      </c>
    </row>
    <row r="2">
      <c r="A2" t="inlineStr" s="1">
        <is>
          <t xml:space="preserve">Case ID</t>
        </is>
      </c>
      <c r="B2" t="inlineStr" s="1">
        <is>
          <t xml:space="preserve">case_verifier_grade_fixture</t>
        </is>
      </c>
      <c r="C2" t="inlineStr" s="1">
        <is>
          <t xml:space="preserve">Immutable snapshot</t>
        </is>
      </c>
      <c r="D2" t="inlineStr" s="5">
        <is>
          <t xml:space="preserve">SEALED</t>
        </is>
      </c>
    </row>
    <row r="3">
      <c r="A3" t="inlineStr" s="1">
        <is>
          <t xml:space="preserve">Importer</t>
        </is>
      </c>
      <c r="B3" t="inlineStr" s="1">
        <is>
          <t xml:space="preserve">CBAMValid Importer B.V.</t>
        </is>
      </c>
      <c r="C3" t="inlineStr" s="1">
        <is>
          <t xml:space="preserve">Corporate identity</t>
        </is>
      </c>
      <c r="D3" t="inlineStr" s="5">
        <is>
          <t xml:space="preserve">DOCUMENTED</t>
        </is>
      </c>
    </row>
    <row r="4">
      <c r="A4" t="inlineStr" s="1">
        <is>
          <t xml:space="preserve">EORI</t>
        </is>
      </c>
      <c r="B4" t="inlineStr" s="1">
        <is>
          <t xml:space="preserve">NL123456789AB</t>
        </is>
      </c>
      <c r="C4" t="inlineStr" s="1">
        <is>
          <t xml:space="preserve">11111111-1111-4111-8111-222222222222</t>
        </is>
      </c>
      <c r="D4" t="inlineStr" s="5">
        <is>
          <t xml:space="preserve">DOCUMENTED</t>
        </is>
      </c>
    </row>
    <row r="5">
      <c r="A5" t="inlineStr" s="1">
        <is>
          <t xml:space="preserve">Exporter / operator</t>
        </is>
      </c>
      <c r="B5" t="inlineStr" s="1">
        <is>
          <t xml:space="preserve">Verified Steel Operator A.S.</t>
        </is>
      </c>
      <c r="C5" t="inlineStr" s="1">
        <is>
          <t xml:space="preserve">Operator identity</t>
        </is>
      </c>
      <c r="D5" t="inlineStr" s="5">
        <is>
          <t xml:space="preserve">DOCUMENTED</t>
        </is>
      </c>
    </row>
    <row r="6">
      <c r="A6" t="inlineStr" s="1">
        <is>
          <t xml:space="preserve">Installation</t>
        </is>
      </c>
      <c r="B6" t="inlineStr" s="1">
        <is>
          <t xml:space="preserve">Verified Integrated Steel Installation</t>
        </is>
      </c>
      <c r="C6" t="inlineStr" s="1">
        <is>
          <t xml:space="preserve">Installation record</t>
        </is>
      </c>
      <c r="D6" t="inlineStr" s="5">
        <is>
          <t xml:space="preserve">DOCUMENTED</t>
        </is>
      </c>
    </row>
    <row r="7">
      <c r="A7" t="inlineStr" s="1">
        <is>
          <t xml:space="preserve">Country</t>
        </is>
      </c>
      <c r="B7" t="inlineStr" s="1">
        <is>
          <t xml:space="preserve">TR</t>
        </is>
      </c>
      <c r="C7" t="inlineStr" s="1">
        <is>
          <t xml:space="preserve">Installation record</t>
        </is>
      </c>
      <c r="D7" t="inlineStr" s="5">
        <is>
          <t xml:space="preserve">DOCUMENTED</t>
        </is>
      </c>
    </row>
    <row r="8">
      <c r="A8" t="inlineStr" s="1">
        <is>
          <t xml:space="preserve">Production route</t>
        </is>
      </c>
      <c r="B8" t="inlineStr" s="1">
        <is>
          <t xml:space="preserve">Blast Furnace Route (BF-BOF)</t>
        </is>
      </c>
      <c r="C8" t="inlineStr" s="1">
        <is>
          <t xml:space="preserve">Monitoring plan</t>
        </is>
      </c>
      <c r="D8" t="inlineStr" s="5">
        <is>
          <t xml:space="preserve">DOCUMENTED</t>
        </is>
      </c>
    </row>
    <row r="9">
      <c r="A9" t="inlineStr" s="1">
        <is>
          <t xml:space="preserve">Reporting period</t>
        </is>
      </c>
      <c r="B9" t="inlineStr" s="1">
        <is>
          <t xml:space="preserve">2026-ANNUAL</t>
        </is>
      </c>
      <c r="C9" t="inlineStr" s="1">
        <is>
          <t xml:space="preserve">Definitive period</t>
        </is>
      </c>
      <c r="D9" t="inlineStr" s="5">
        <is>
          <t xml:space="preserve">DOCUMENTED</t>
        </is>
      </c>
    </row>
    <row r="10">
      <c r="A10" t="inlineStr" s="1">
        <is>
          <t xml:space="preserve">System boundary</t>
        </is>
      </c>
      <c r="B10" t="inlineStr" s="1">
        <is>
          <t xml:space="preserve">Coke preparation, sinter plant, blast furnace, basic oxygen furnace, casting and finishing operations within the controlled installation boundary.</t>
        </is>
      </c>
      <c r="C10" t="inlineStr" s="1">
        <is>
          <t xml:space="preserve">Monitoring plan</t>
        </is>
      </c>
      <c r="D10" t="inlineStr" s="5">
        <is>
          <t xml:space="preserve">DOCUMENTED</t>
        </is>
      </c>
    </row>
  </sheetData>
  <autoFilter ref="A1:D11"/>
  <sheetProtection sheet="1" objects="1" scenarios="1" selectLockedCells="1" selectUnlockedCells="1" formatCells="0" formatColumns="0" formatRows="0" insertColumns="0" insertRows="0" insertHyperlinks="0" deleteColumns="0" deleteRows="0" sort="0" autoFilter="0" pivotTables="0"/>
  <conditionalFormatting sqref="D2:D1048576">
    <cfRule type="containsText" dxfId="0" priority="1" operator="containsText" text="PASS">
      <formula>NOT(ISERROR(SEARCH("PASS",D2)))</formula>
    </cfRule>
    <cfRule type="containsText" dxfId="0" priority="2" operator="containsText" text="DOCUMENTED">
      <formula>NOT(ISERROR(SEARCH("DOCUMENTED",D2)))</formula>
    </cfRule>
    <cfRule type="containsText" dxfId="1" priority="3" operator="containsText" text="WARNING">
      <formula>NOT(ISERROR(SEARCH("WARNING",D2)))</formula>
    </cfRule>
    <cfRule type="containsText" dxfId="2" priority="4" operator="containsText" text="BLOCKER">
      <formula>NOT(ISERROR(SEARCH("BLOCKER",D2)))</formula>
    </cfRule>
    <cfRule type="containsText" dxfId="2" priority="5" operator="containsText" text="GAP">
      <formula>NOT(ISERROR(SEARCH("GAP",D2)))</formula>
    </cfRule>
  </conditionalFormatting>
  <printOptions horizontalCentered="0" verticalCentered="0"/>
  <pageMargins left="0.25" right="0.25" top="0.5" bottom="0.5" header="0.2" footer="0.2"/>
  <pageSetup orientation="portrait" fitToWidth="1" fitToHeight="0" paperSize="9"/>
</worksheet>
</file>

<file path=xl/worksheets/sheet3.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9" customWidth="1"/>
    <col min="2" max="2" width="16" customWidth="1"/>
    <col min="3" max="3" width="24" customWidth="1"/>
    <col min="4" max="4" width="16" customWidth="1"/>
    <col min="5" max="5" width="12" customWidth="1"/>
    <col min="6" max="6" width="15" customWidth="1"/>
    <col min="7" max="7" width="20" customWidth="1"/>
    <col min="8" max="8" width="20" customWidth="1"/>
    <col min="9" max="9" width="17" customWidth="1"/>
    <col min="10" max="10" width="20" customWidth="1"/>
    <col min="11" max="11" width="40" customWidth="1"/>
    <col min="12" max="12" width="35" customWidth="1"/>
  </cols>
  <sheetData>
    <row r="1" ht="24" customHeight="1">
      <c r="A1" t="inlineStr" s="3">
        <is>
          <t xml:space="preserve">Index</t>
        </is>
      </c>
      <c r="B1" t="inlineStr" s="3">
        <is>
          <t xml:space="preserve">CN code</t>
        </is>
      </c>
      <c r="C1" t="inlineStr" s="3">
        <is>
          <t xml:space="preserve">Sector</t>
        </is>
      </c>
      <c r="D1" t="inlineStr" s="3">
        <is>
          <t xml:space="preserve">Production</t>
        </is>
      </c>
      <c r="E1" t="inlineStr" s="3">
        <is>
          <t xml:space="preserve">Unit</t>
        </is>
      </c>
      <c r="F1" t="inlineStr" s="3">
        <is>
          <t xml:space="preserve">Allocation share</t>
        </is>
      </c>
      <c r="G1" t="inlineStr" s="3">
        <is>
          <t xml:space="preserve">Allocated tCO2e</t>
        </is>
      </c>
      <c r="H1" t="inlineStr" s="3">
        <is>
          <t xml:space="preserve">Specific tCO2e/t</t>
        </is>
      </c>
      <c r="I1" t="inlineStr" s="3">
        <is>
          <t xml:space="preserve">Materiality %</t>
        </is>
      </c>
      <c r="J1" t="inlineStr" s="3">
        <is>
          <t xml:space="preserve">Materiality tCO2e/t</t>
        </is>
      </c>
      <c r="K1" t="inlineStr" s="3">
        <is>
          <t xml:space="preserve">Materiality status</t>
        </is>
      </c>
      <c r="L1" t="inlineStr" s="3">
        <is>
          <t xml:space="preserve">Trace ID</t>
        </is>
      </c>
    </row>
    <row r="2">
      <c r="A2" s="8">
        <v>1</v>
      </c>
      <c r="B2" t="inlineStr" s="1">
        <is>
          <t xml:space="preserve">72011011</t>
        </is>
      </c>
      <c r="C2" t="inlineStr" s="1">
        <is>
          <t xml:space="preserve">IRON_AND_STEEL</t>
        </is>
      </c>
      <c r="D2" s="8">
        <v>60</v>
      </c>
      <c r="E2" t="inlineStr" s="1">
        <is>
          <t xml:space="preserve">t</t>
        </is>
      </c>
      <c r="F2" s="8">
        <v>0.6</v>
      </c>
      <c r="G2" s="8">
        <v>48</v>
      </c>
      <c r="H2" s="8">
        <v>0.8</v>
      </c>
      <c r="I2" s="8">
        <v>5</v>
      </c>
      <c r="J2" s="8">
        <v>0.04</v>
      </c>
      <c r="K2" t="inlineStr" s="6">
        <is>
          <t xml:space="preserve">PROVISIONAL_FOR_VERIFIER_PLANNING</t>
        </is>
      </c>
      <c r="L2" t="inlineStr" s="1">
        <is>
          <t xml:space="preserve">calc_c9b675a88bbe12e9e0499e2c41146bd4</t>
        </is>
      </c>
    </row>
    <row r="3">
      <c r="A3" s="8">
        <v>2</v>
      </c>
      <c r="B3" t="inlineStr" s="1">
        <is>
          <t xml:space="preserve">72011019</t>
        </is>
      </c>
      <c r="C3" t="inlineStr" s="1">
        <is>
          <t xml:space="preserve">IRON_AND_STEEL</t>
        </is>
      </c>
      <c r="D3" s="8">
        <v>40</v>
      </c>
      <c r="E3" t="inlineStr" s="1">
        <is>
          <t xml:space="preserve">t</t>
        </is>
      </c>
      <c r="F3" s="8">
        <v>0.4</v>
      </c>
      <c r="G3" s="8">
        <v>32</v>
      </c>
      <c r="H3" s="8">
        <v>0.8</v>
      </c>
      <c r="I3" s="8">
        <v>5</v>
      </c>
      <c r="J3" s="8">
        <v>0.04</v>
      </c>
      <c r="K3" t="inlineStr" s="6">
        <is>
          <t xml:space="preserve">PROVISIONAL_FOR_VERIFIER_PLANNING</t>
        </is>
      </c>
      <c r="L3" t="inlineStr" s="1">
        <is>
          <t xml:space="preserve">calc_abc058b793bf631c47e250d0e59d3959</t>
        </is>
      </c>
    </row>
  </sheetData>
  <autoFilter ref="A1:L3"/>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landscape" fitToWidth="1" fitToHeight="0" paperSize="9"/>
</worksheet>
</file>

<file path=xl/worksheets/sheet4.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2" customWidth="1"/>
    <col min="2" max="2" width="24" customWidth="1"/>
    <col min="3" max="3" width="20" customWidth="1"/>
    <col min="4" max="4" width="70" customWidth="1"/>
  </cols>
  <sheetData>
    <row r="1" ht="24" customHeight="1">
      <c r="A1" t="inlineStr" s="3">
        <is>
          <t xml:space="preserve">Metric</t>
        </is>
      </c>
      <c r="B1" t="inlineStr" s="3">
        <is>
          <t xml:space="preserve">Value</t>
        </is>
      </c>
      <c r="C1" t="inlineStr" s="3">
        <is>
          <t xml:space="preserve">Unit</t>
        </is>
      </c>
      <c r="D1" t="inlineStr" s="3">
        <is>
          <t xml:space="preserve">Control identity</t>
        </is>
      </c>
    </row>
    <row r="2">
      <c r="A2" t="inlineStr" s="1">
        <is>
          <t xml:space="preserve">Installation direct emissions (A)</t>
        </is>
      </c>
      <c r="B2" s="8">
        <v>80</v>
      </c>
      <c r="C2" t="inlineStr" s="1">
        <is>
          <t xml:space="preserve">tCO2e</t>
        </is>
      </c>
      <c r="D2" t="inlineStr" s="1">
        <is>
          <t xml:space="preserve">CBAM_TOTAL_EMBEDDED_EMISSIONS</t>
        </is>
      </c>
    </row>
    <row r="3">
      <c r="A3" t="inlineStr" s="1">
        <is>
          <t xml:space="preserve">Precursor direct emissions (B)</t>
        </is>
      </c>
      <c r="B3" s="8">
        <v>0</v>
      </c>
      <c r="C3" t="inlineStr" s="1">
        <is>
          <t xml:space="preserve">tCO2e</t>
        </is>
      </c>
      <c r="D3" t="inlineStr" s="1">
        <is>
          <t xml:space="preserve">CBAM_PRECURSOR_EMISSIONS_SUM</t>
        </is>
      </c>
    </row>
    <row r="4">
      <c r="A4" t="inlineStr" s="1">
        <is>
          <t xml:space="preserve">Total direct embedded emissions (C)</t>
        </is>
      </c>
      <c r="B4" s="8">
        <v>80</v>
      </c>
      <c r="C4" t="inlineStr" s="1">
        <is>
          <t xml:space="preserve">tCO2e</t>
        </is>
      </c>
      <c r="D4" t="inlineStr" s="1">
        <is>
          <t xml:space="preserve">Direct + precursor direct</t>
        </is>
      </c>
    </row>
    <row r="5">
      <c r="A5" t="inlineStr" s="1">
        <is>
          <t xml:space="preserve">Electricity indirect emissions (D)</t>
        </is>
      </c>
      <c r="B5" s="8">
        <v>40</v>
      </c>
      <c r="C5" t="inlineStr" s="1">
        <is>
          <t xml:space="preserve">tCO2e</t>
        </is>
      </c>
      <c r="D5" t="inlineStr" s="1">
        <is>
          <t xml:space="preserve">CBAM_INDIRECT_EMISSIONS</t>
        </is>
      </c>
    </row>
    <row r="6">
      <c r="A6" t="inlineStr" s="1">
        <is>
          <t xml:space="preserve">Precursor indirect emissions (E)</t>
        </is>
      </c>
      <c r="B6" s="8">
        <v>0</v>
      </c>
      <c r="C6" t="inlineStr" s="1">
        <is>
          <t xml:space="preserve">tCO2e</t>
        </is>
      </c>
      <c r="D6" t="inlineStr" s="1">
        <is>
          <t xml:space="preserve">CBAM_PRECURSOR_EMISSIONS_SUM</t>
        </is>
      </c>
    </row>
    <row r="7">
      <c r="A7" t="inlineStr" s="1">
        <is>
          <t xml:space="preserve">Total disclosed indirect emissions (F)</t>
        </is>
      </c>
      <c r="B7" s="8">
        <v>40</v>
      </c>
      <c r="C7" t="inlineStr" s="1">
        <is>
          <t xml:space="preserve">tCO2e</t>
        </is>
      </c>
      <c r="D7" t="inlineStr" s="1">
        <is>
          <t xml:space="preserve">Electricity + precursor indirect</t>
        </is>
      </c>
    </row>
    <row r="8">
      <c r="A8" t="inlineStr" s="1">
        <is>
          <t xml:space="preserve">Certificate-relevant embedded emissions (G)</t>
        </is>
      </c>
      <c r="B8" s="8">
        <v>80</v>
      </c>
      <c r="C8" t="inlineStr" s="1">
        <is>
          <t xml:space="preserve">tCO2e</t>
        </is>
      </c>
      <c r="D8" t="inlineStr" s="1">
        <is>
          <t xml:space="preserve">Annex II aware priced total</t>
        </is>
      </c>
    </row>
    <row r="9">
      <c r="A9" t="inlineStr" s="1">
        <is>
          <t xml:space="preserve">Total informational embedded emissions (H)</t>
        </is>
      </c>
      <c r="B9" s="8">
        <v>120</v>
      </c>
      <c r="C9" t="inlineStr" s="1">
        <is>
          <t xml:space="preserve">tCO2e</t>
        </is>
      </c>
      <c r="D9" t="inlineStr" s="1">
        <is>
          <t xml:space="preserve">C + F disclosed total</t>
        </is>
      </c>
    </row>
    <row r="10">
      <c r="A10" t="inlineStr" s="1">
        <is>
          <t xml:space="preserve">Production volume</t>
        </is>
      </c>
      <c r="B10" s="8">
        <v>100</v>
      </c>
      <c r="C10" t="inlineStr" s="1">
        <is>
          <t xml:space="preserve">t</t>
        </is>
      </c>
      <c r="D10" t="inlineStr" s="1">
        <is>
          <t xml:space="preserve">Sum of good production</t>
        </is>
      </c>
    </row>
    <row r="11">
      <c r="A11" t="inlineStr" s="1">
        <is>
          <t xml:space="preserve">Aggregate specific embedded emissions</t>
        </is>
      </c>
      <c r="B11" s="8">
        <v>0.8</v>
      </c>
      <c r="C11" t="inlineStr" s="1">
        <is>
          <t xml:space="preserve">tCO2e/t</t>
        </is>
      </c>
      <c r="D11" t="inlineStr" s="1">
        <is>
          <t xml:space="preserve">Aggregate diagnostic</t>
        </is>
      </c>
    </row>
    <row r="12">
      <c r="A12" t="inlineStr" s="1">
        <is>
          <t xml:space="preserve">Allocation share total</t>
        </is>
      </c>
      <c r="B12" s="8">
        <v>1</v>
      </c>
      <c r="C12" t="inlineStr" s="1">
        <is>
          <t xml:space="preserve">fraction</t>
        </is>
      </c>
      <c r="D12" t="inlineStr" s="1">
        <is>
          <t xml:space="preserve">Expected 1</t>
        </is>
      </c>
    </row>
    <row r="13">
      <c r="A13" t="inlineStr" s="1">
        <is>
          <t xml:space="preserve">Allocation reconciliation delta</t>
        </is>
      </c>
      <c r="B13" s="8">
        <v>0</v>
      </c>
      <c r="C13" t="inlineStr" s="1">
        <is>
          <t xml:space="preserve">fraction</t>
        </is>
      </c>
      <c r="D13" t="inlineStr" s="1">
        <is>
          <t xml:space="preserve">Tolerance 0.000001</t>
        </is>
      </c>
    </row>
    <row r="14">
      <c r="A14" t="inlineStr" s="1">
        <is>
          <t xml:space="preserve">Eligible certificate reduction</t>
        </is>
      </c>
      <c r="B14" s="8">
        <v>10</v>
      </c>
      <c r="C14" t="inlineStr" s="1">
        <is>
          <t xml:space="preserve">certificate-equivalent</t>
        </is>
      </c>
      <c r="D14" t="inlineStr" s="1">
        <is>
          <t xml:space="preserve">Subject to evidence and applicable law</t>
        </is>
      </c>
    </row>
  </sheetData>
  <autoFilter ref="A1:D13"/>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5.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34" customWidth="1"/>
    <col min="2" max="2" width="20" customWidth="1"/>
    <col min="3" max="3" width="18" customWidth="1"/>
    <col min="4" max="4" width="20" customWidth="1"/>
    <col min="5" max="5" width="40" customWidth="1"/>
    <col min="6" max="6" width="30" customWidth="1"/>
    <col min="7" max="7" width="25" customWidth="1"/>
  </cols>
  <sheetData>
    <row r="1" ht="24" customHeight="1">
      <c r="A1" t="inlineStr" s="3">
        <is>
          <t xml:space="preserve">Input</t>
        </is>
      </c>
      <c r="B1" t="inlineStr" s="3">
        <is>
          <t xml:space="preserve">Value</t>
        </is>
      </c>
      <c r="C1" t="inlineStr" s="3">
        <is>
          <t xml:space="preserve">Unit</t>
        </is>
      </c>
      <c r="D1" t="inlineStr" s="3">
        <is>
          <t xml:space="preserve">Source type</t>
        </is>
      </c>
      <c r="E1" t="inlineStr" s="3">
        <is>
          <t xml:space="preserve">Evidence ID</t>
        </is>
      </c>
      <c r="F1" t="inlineStr" s="3">
        <is>
          <t xml:space="preserve">Measurement method</t>
        </is>
      </c>
      <c r="G1" t="inlineStr" s="3">
        <is>
          <t xml:space="preserve">Responsible person</t>
        </is>
      </c>
    </row>
    <row r="2">
      <c r="A2" t="inlineStr" s="1">
        <is>
          <t xml:space="preserve">Direct emissions</t>
        </is>
      </c>
      <c r="B2" t="inlineStr" s="1">
        <is>
          <t xml:space="preserve">80</t>
        </is>
      </c>
      <c r="C2" t="inlineStr" s="1">
        <is>
          <t xml:space="preserve">tCO2e</t>
        </is>
      </c>
      <c r="D2" t="inlineStr" s="1">
        <is>
          <t xml:space="preserve">PRIMARY</t>
        </is>
      </c>
      <c r="E2" t="inlineStr" s="1">
        <is>
          <t xml:space="preserve">11111111-1111-4111-8111-555555555555</t>
        </is>
      </c>
      <c r="F2" t="inlineStr" s="1">
        <is>
          <t xml:space="preserve">Documented direct measurement and reconciled production ledger</t>
        </is>
      </c>
      <c r="G2" t="inlineStr" s="1">
        <is>
          <t xml:space="preserve">Installation monitoring manager</t>
        </is>
      </c>
    </row>
    <row r="3">
      <c r="A3" t="inlineStr" s="1">
        <is>
          <t xml:space="preserve">Electricity consumed</t>
        </is>
      </c>
      <c r="B3" t="inlineStr" s="1">
        <is>
          <t xml:space="preserve">100</t>
        </is>
      </c>
      <c r="C3" t="inlineStr" s="1">
        <is>
          <t xml:space="preserve">MWh</t>
        </is>
      </c>
      <c r="D3" t="inlineStr" s="1">
        <is>
          <t xml:space="preserve">PRIMARY</t>
        </is>
      </c>
      <c r="E3" t="inlineStr" s="1">
        <is>
          <t xml:space="preserve">11111111-1111-4111-8111-333333333333</t>
        </is>
      </c>
      <c r="F3" t="inlineStr" s="1">
        <is>
          <t xml:space="preserve">Documented direct measurement and reconciled production ledger</t>
        </is>
      </c>
      <c r="G3" t="inlineStr" s="1">
        <is>
          <t xml:space="preserve">Installation monitoring manager</t>
        </is>
      </c>
    </row>
    <row r="4">
      <c r="A4" t="inlineStr" s="1">
        <is>
          <t xml:space="preserve">Grid emission factor</t>
        </is>
      </c>
      <c r="B4" t="inlineStr" s="1">
        <is>
          <t xml:space="preserve">0.4</t>
        </is>
      </c>
      <c r="C4" t="inlineStr" s="1">
        <is>
          <t xml:space="preserve">tCO2e/MWh</t>
        </is>
      </c>
      <c r="D4" t="inlineStr" s="1">
        <is>
          <t xml:space="preserve">PRIMARY</t>
        </is>
      </c>
      <c r="E4" t="inlineStr" s="1">
        <is>
          <t xml:space="preserve">11111111-1111-4111-8111-333333333333</t>
        </is>
      </c>
      <c r="F4" t="inlineStr" s="1">
        <is>
          <t xml:space="preserve">Documented direct measurement and reconciled production ledger</t>
        </is>
      </c>
      <c r="G4" t="inlineStr" s="1">
        <is>
          <t xml:space="preserve">Installation monitoring manager</t>
        </is>
      </c>
    </row>
  </sheetData>
  <autoFilter ref="A1:G4"/>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6.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9" customWidth="1"/>
    <col min="2" max="2" width="28" customWidth="1"/>
    <col min="3" max="3" width="18" customWidth="1"/>
    <col min="4" max="4" width="18" customWidth="1"/>
    <col min="5" max="5" width="14" customWidth="1"/>
    <col min="6" max="6" width="18" customWidth="1"/>
    <col min="7" max="7" width="18" customWidth="1"/>
    <col min="8" max="8" width="38" customWidth="1"/>
  </cols>
  <sheetData>
    <row r="1" ht="24" customHeight="1">
      <c r="A1" t="inlineStr" s="3">
        <is>
          <t xml:space="preserve">Index</t>
        </is>
      </c>
      <c r="B1" t="inlineStr" s="3">
        <is>
          <t xml:space="preserve">Name</t>
        </is>
      </c>
      <c r="C1" t="inlineStr" s="3">
        <is>
          <t xml:space="preserve">Country</t>
        </is>
      </c>
      <c r="D1" t="inlineStr" s="3">
        <is>
          <t xml:space="preserve">Quantity</t>
        </is>
      </c>
      <c r="E1" t="inlineStr" s="3">
        <is>
          <t xml:space="preserve">Unit</t>
        </is>
      </c>
      <c r="F1" t="inlineStr" s="3">
        <is>
          <t xml:space="preserve">Direct tCO2e</t>
        </is>
      </c>
      <c r="G1" t="inlineStr" s="3">
        <is>
          <t xml:space="preserve">Indirect tCO2e</t>
        </is>
      </c>
      <c r="H1" t="inlineStr" s="3">
        <is>
          <t xml:space="preserve">Evidence links</t>
        </is>
      </c>
    </row>
  </sheetData>
  <autoFilter ref="A1:H2"/>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7.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38" customWidth="1"/>
    <col min="2" max="2" width="30" customWidth="1"/>
    <col min="3" max="3" width="45" customWidth="1"/>
    <col min="4" max="4" width="28" customWidth="1"/>
    <col min="5" max="5" width="16" customWidth="1"/>
    <col min="6" max="6" width="68" customWidth="1"/>
    <col min="7" max="7" width="14" customWidth="1"/>
    <col min="8" max="8" width="17" customWidth="1"/>
    <col min="9" max="9" width="20" customWidth="1"/>
    <col min="10" max="10" width="16" customWidth="1"/>
    <col min="11" max="11" width="48" customWidth="1"/>
  </cols>
  <sheetData>
    <row r="1" ht="24" customHeight="1">
      <c r="A1" t="inlineStr" s="3">
        <is>
          <t xml:space="preserve">Evidence ID</t>
        </is>
      </c>
      <c r="B1" t="inlineStr" s="3">
        <is>
          <t xml:space="preserve">Type</t>
        </is>
      </c>
      <c r="C1" t="inlineStr" s="3">
        <is>
          <t xml:space="preserve">File</t>
        </is>
      </c>
      <c r="D1" t="inlineStr" s="3">
        <is>
          <t xml:space="preserve">Issuer</t>
        </is>
      </c>
      <c r="E1" t="inlineStr" s="3">
        <is>
          <t xml:space="preserve">Issue date</t>
        </is>
      </c>
      <c r="F1" t="inlineStr" s="3">
        <is>
          <t xml:space="preserve">SHA-256</t>
        </is>
      </c>
      <c r="G1" t="inlineStr" s="3">
        <is>
          <t xml:space="preserve">Bytes</t>
        </is>
      </c>
      <c r="H1" t="inlineStr" s="3">
        <is>
          <t xml:space="preserve">Review</t>
        </is>
      </c>
      <c r="I1" t="inlineStr" s="3">
        <is>
          <t xml:space="preserve">Support</t>
        </is>
      </c>
      <c r="J1" t="inlineStr" s="3">
        <is>
          <t xml:space="preserve">Malware</t>
        </is>
      </c>
      <c r="K1" t="inlineStr" s="3">
        <is>
          <t xml:space="preserve">Linked inputs</t>
        </is>
      </c>
    </row>
    <row r="2">
      <c r="A2" t="inlineStr" s="1">
        <is>
          <t xml:space="preserve">11111111-1111-4111-8111-222222222222</t>
        </is>
      </c>
      <c r="B2" t="inlineStr" s="1">
        <is>
          <t xml:space="preserve">CUSTOMS_DECLARATION</t>
        </is>
      </c>
      <c r="C2" t="inlineStr" s="1">
        <is>
          <t xml:space="preserve">customs-declaration-classification.pdf</t>
        </is>
      </c>
      <c r="D2" t="inlineStr" s="1">
        <is>
          <t xml:space="preserve">Customs Authority</t>
        </is>
      </c>
      <c r="E2" t="inlineStr" s="1">
        <is>
          <t xml:space="preserve">2026-03-31</t>
        </is>
      </c>
      <c r="F2" t="inlineStr" s="1">
        <is>
          <t xml:space="preserve">131f55d58925bbb16c2b5fc319042056ebcb0e5d192f642740fb7a0fa246bc7c</t>
        </is>
      </c>
      <c r="G2" s="8">
        <v>92</v>
      </c>
      <c r="H2" t="inlineStr" s="1">
        <is>
          <t xml:space="preserve">APPROVED</t>
        </is>
      </c>
      <c r="I2" t="inlineStr" s="1">
        <is>
          <t xml:space="preserve">SUPPORTED</t>
        </is>
      </c>
      <c r="J2" t="inlineStr" s="1">
        <is>
          <t xml:space="preserve">CLEAN</t>
        </is>
      </c>
      <c r="K2" t="inlineStr" s="1">
        <is>
          <t xml:space="preserve">importerIdentity.eoriNumber | goods.0.cnCode | goods.1.cnCode | exporterIdentity.legalName | exporterIdentity.address | importerIdentity.legalName | importerIdentity.eoriNumber | installation.name | installation.country | installation.productionRoute | reportingPeriod.year | reportingPeriod.quarter | goods.0.cnCode | goods.0.allocationShare | goods.1.cnCode | goods.1.allocationShare</t>
        </is>
      </c>
    </row>
    <row r="3">
      <c r="A3" t="inlineStr" s="1">
        <is>
          <t xml:space="preserve">11111111-1111-4111-8111-333333333333</t>
        </is>
      </c>
      <c r="B3" t="inlineStr" s="1">
        <is>
          <t xml:space="preserve">UTILITY_BILL</t>
        </is>
      </c>
      <c r="C3" t="inlineStr" s="1">
        <is>
          <t xml:space="preserve">electricity-utility-invoice.pdf</t>
        </is>
      </c>
      <c r="D3" t="inlineStr" s="1">
        <is>
          <t xml:space="preserve">National Power Utility</t>
        </is>
      </c>
      <c r="E3" t="inlineStr" s="1">
        <is>
          <t xml:space="preserve">2026-03-31</t>
        </is>
      </c>
      <c r="F3" t="inlineStr" s="1">
        <is>
          <t xml:space="preserve">7e9c3cdb25683a0e8ce19c6c4f0c4048e2ef18fa76c94cbe122f4e82eeb5f335</t>
        </is>
      </c>
      <c r="G3" s="8">
        <v>106</v>
      </c>
      <c r="H3" t="inlineStr" s="1">
        <is>
          <t xml:space="preserve">APPROVED</t>
        </is>
      </c>
      <c r="I3" t="inlineStr" s="1">
        <is>
          <t xml:space="preserve">SUPPORTED</t>
        </is>
      </c>
      <c r="J3" t="inlineStr" s="1">
        <is>
          <t xml:space="preserve">CLEAN</t>
        </is>
      </c>
      <c r="K3" t="inlineStr" s="1">
        <is>
          <t xml:space="preserve">electricityConsumed | gridEmissionFactor</t>
        </is>
      </c>
    </row>
    <row r="4">
      <c r="A4" t="inlineStr" s="1">
        <is>
          <t xml:space="preserve">11111111-1111-4111-8111-444444444444</t>
        </is>
      </c>
      <c r="B4" t="inlineStr" s="1">
        <is>
          <t xml:space="preserve">PRODUCTION_RECONCILIATION_REPORT</t>
        </is>
      </c>
      <c r="C4" t="inlineStr" s="1">
        <is>
          <t xml:space="preserve">production-reconciliation-ledger.pdf</t>
        </is>
      </c>
      <c r="D4" t="inlineStr" s="1">
        <is>
          <t xml:space="preserve">Internal Production Auditor</t>
        </is>
      </c>
      <c r="E4" t="inlineStr" s="1">
        <is>
          <t xml:space="preserve">2026-03-31</t>
        </is>
      </c>
      <c r="F4" t="inlineStr" s="1">
        <is>
          <t xml:space="preserve">c5ecc502ccc8d7accbfb3302bbc20577301d605d967ed003e95a6056d79d6062</t>
        </is>
      </c>
      <c r="G4" s="8">
        <v>89</v>
      </c>
      <c r="H4" t="inlineStr" s="1">
        <is>
          <t xml:space="preserve">APPROVED</t>
        </is>
      </c>
      <c r="I4" t="inlineStr" s="1">
        <is>
          <t xml:space="preserve">SUPPORTED</t>
        </is>
      </c>
      <c r="J4" t="inlineStr" s="1">
        <is>
          <t xml:space="preserve">CLEAN</t>
        </is>
      </c>
      <c r="K4" t="inlineStr" s="1">
        <is>
          <t xml:space="preserve">goods.0.productionVolume | goods.0.allocationShare | goods.1.allocationShare</t>
        </is>
      </c>
    </row>
    <row r="5">
      <c r="A5" t="inlineStr" s="1">
        <is>
          <t xml:space="preserve">11111111-1111-4111-8111-555555555555</t>
        </is>
      </c>
      <c r="B5" t="inlineStr" s="1">
        <is>
          <t xml:space="preserve">PRIMARY_MONITORING_AND_CUSTOMS_PACKAGE</t>
        </is>
      </c>
      <c r="C5" t="inlineStr" s="1">
        <is>
          <t xml:space="preserve">verified-monitoring-package.pdf</t>
        </is>
      </c>
      <c r="D5" t="inlineStr" s="1">
        <is>
          <t xml:space="preserve">Independent Monitoring Auditor</t>
        </is>
      </c>
      <c r="E5" t="inlineStr" s="1">
        <is>
          <t xml:space="preserve">2026-03-31</t>
        </is>
      </c>
      <c r="F5" t="inlineStr" s="1">
        <is>
          <t xml:space="preserve">52f88d25d5eba4319069b122447ad9073e41f2d4e7aafeede6bc99ccab29e634</t>
        </is>
      </c>
      <c r="G5" s="8">
        <v>135</v>
      </c>
      <c r="H5" t="inlineStr" s="1">
        <is>
          <t xml:space="preserve">APPROVED</t>
        </is>
      </c>
      <c r="I5" t="inlineStr" s="1">
        <is>
          <t xml:space="preserve">SUPPORTED</t>
        </is>
      </c>
      <c r="J5" t="inlineStr" s="1">
        <is>
          <t xml:space="preserve">CLEAN</t>
        </is>
      </c>
      <c r="K5" t="inlineStr" s="1">
        <is>
          <t xml:space="preserve">directEmissions | goods.1.productionVolume</t>
        </is>
      </c>
    </row>
    <row r="6">
      <c r="A6" t="inlineStr" s="1">
        <is>
          <t xml:space="preserve">11111111-1111-4111-8111-666666666666</t>
        </is>
      </c>
      <c r="B6" t="inlineStr" s="1">
        <is>
          <t xml:space="preserve">CALIBRATION_CERTIFICATE</t>
        </is>
      </c>
      <c r="C6" t="inlineStr" s="1">
        <is>
          <t xml:space="preserve">meter-calibration-certificate.pdf</t>
        </is>
      </c>
      <c r="D6" t="inlineStr" s="1">
        <is>
          <t xml:space="preserve">Accredited Calibration Laboratory</t>
        </is>
      </c>
      <c r="E6" t="inlineStr" s="1">
        <is>
          <t xml:space="preserve">2026-01-15</t>
        </is>
      </c>
      <c r="F6" t="inlineStr" s="1">
        <is>
          <t xml:space="preserve">8adfa9f9eb2d649a8401b5f4997c41f1d3ae70ae792384a54909dc72ae0ba685</t>
        </is>
      </c>
      <c r="G6" s="8">
        <v>107</v>
      </c>
      <c r="H6" t="inlineStr" s="1">
        <is>
          <t xml:space="preserve">APPROVED</t>
        </is>
      </c>
      <c r="I6" t="inlineStr" s="1">
        <is>
          <t xml:space="preserve">SUPPORTED</t>
        </is>
      </c>
      <c r="J6" t="inlineStr" s="1">
        <is>
          <t xml:space="preserve">CLEAN</t>
        </is>
      </c>
      <c r="K6" t="inlineStr" s="1">
        <is>
          <t xml:space="preserve">directEmissions</t>
        </is>
      </c>
    </row>
  </sheetData>
  <autoFilter ref="A1:K6"/>
  <sheetProtection sheet="1" objects="1" scenarios="1" selectLockedCells="1" selectUnlockedCells="1" formatCells="0" formatColumns="0" formatRows="0" insertColumns="0" insertRows="0" insertHyperlinks="0" deleteColumns="0" deleteRows="0" sort="0" autoFilter="0" pivotTables="0"/>
  <conditionalFormatting sqref="H2:H1048576">
    <cfRule type="containsText" dxfId="0" priority="1" operator="containsText" text="PASS">
      <formula>NOT(ISERROR(SEARCH("PASS",H2)))</formula>
    </cfRule>
    <cfRule type="containsText" dxfId="0" priority="2" operator="containsText" text="DOCUMENTED">
      <formula>NOT(ISERROR(SEARCH("DOCUMENTED",H2)))</formula>
    </cfRule>
    <cfRule type="containsText" dxfId="1" priority="3" operator="containsText" text="WARNING">
      <formula>NOT(ISERROR(SEARCH("WARNING",H2)))</formula>
    </cfRule>
    <cfRule type="containsText" dxfId="2" priority="4" operator="containsText" text="BLOCKER">
      <formula>NOT(ISERROR(SEARCH("BLOCKER",H2)))</formula>
    </cfRule>
    <cfRule type="containsText" dxfId="2" priority="5" operator="containsText" text="GAP">
      <formula>NOT(ISERROR(SEARCH("GAP",H2)))</formula>
    </cfRule>
  </conditionalFormatting>
  <printOptions horizontalCentered="0" verticalCentered="0"/>
  <pageMargins left="0.25" right="0.25" top="0.5" bottom="0.5" header="0.2" footer="0.2"/>
  <pageSetup orientation="landscape" fitToWidth="1" fitToHeight="0" paperSize="9"/>
</worksheet>
</file>

<file path=xl/worksheets/sheet8.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38" customWidth="1"/>
    <col min="2" max="2" width="28" customWidth="1"/>
    <col min="3" max="3" width="48" customWidth="1"/>
    <col min="4" max="4" width="60" customWidth="1"/>
    <col min="5" max="5" width="68" customWidth="1"/>
    <col min="6" max="6" width="20" customWidth="1"/>
    <col min="7" max="7" width="30" customWidth="1"/>
    <col min="8" max="8" width="48" customWidth="1"/>
  </cols>
  <sheetData>
    <row r="1" ht="24" customHeight="1">
      <c r="A1" t="inlineStr" s="3">
        <is>
          <t xml:space="preserve">Decision ID</t>
        </is>
      </c>
      <c r="B1" t="inlineStr" s="3">
        <is>
          <t xml:space="preserve">Topic</t>
        </is>
      </c>
      <c r="C1" t="inlineStr" s="3">
        <is>
          <t xml:space="preserve">Selected method</t>
        </is>
      </c>
      <c r="D1" t="inlineStr" s="3">
        <is>
          <t xml:space="preserve">Reason</t>
        </is>
      </c>
      <c r="E1" t="inlineStr" s="3">
        <is>
          <t xml:space="preserve">Legal / technical basis</t>
        </is>
      </c>
      <c r="F1" t="inlineStr" s="3">
        <is>
          <t xml:space="preserve">Review</t>
        </is>
      </c>
      <c r="G1" t="inlineStr" s="3">
        <is>
          <t xml:space="preserve">Ruleset</t>
        </is>
      </c>
      <c r="H1" t="inlineStr" s="3">
        <is>
          <t xml:space="preserve">Evidence IDs</t>
        </is>
      </c>
    </row>
    <row r="2">
      <c r="A2" t="inlineStr" s="1">
        <is>
          <t xml:space="preserve">22222222-2222-4222-8222-222222222222</t>
        </is>
      </c>
      <c r="B2" t="inlineStr" s="1">
        <is>
          <t xml:space="preserve">PRECURSOR_SCOPE</t>
        </is>
      </c>
      <c r="C2" t="inlineStr" s="1">
        <is>
          <t xml:space="preserve">No qualifying precursor line is declared for the fixture goods and controlled route.</t>
        </is>
      </c>
      <c r="D2" t="inlineStr" s="1">
        <is>
          <t xml:space="preserve">The controlled bill of materials and production route contain no separate precursor goods requiring an additional precursor line in this fixture.</t>
        </is>
      </c>
      <c r="E2" t="inlineStr" s="1">
        <is>
          <t xml:space="preserve">Regulation (EU) 2023/956 Annex IV and Commission Implementing Regulation (EU) 2025/2547; supported by the controlled bill of materials.</t>
        </is>
      </c>
      <c r="F2" t="inlineStr" s="5">
        <is>
          <t xml:space="preserve">ACCEPTED</t>
        </is>
      </c>
      <c r="G2" t="inlineStr" s="1">
        <is>
          <t xml:space="preserve">EU-CBAM-DEFINITIVE-2026</t>
        </is>
      </c>
      <c r="H2" t="inlineStr" s="1">
        <is>
          <t xml:space="preserve">11111111-1111-4111-8111-555555555555</t>
        </is>
      </c>
    </row>
    <row r="3">
      <c r="A3" t="inlineStr" s="1">
        <is>
          <t xml:space="preserve">33333333-3333-4333-8333-333333333333</t>
        </is>
      </c>
      <c r="B3" t="inlineStr" s="1">
        <is>
          <t xml:space="preserve">GOODS_EMISSIONS_ALLOCATION</t>
        </is>
      </c>
      <c r="C3" t="inlineStr" s="1">
        <is>
          <t xml:space="preserve">Allocate installation emissions using documented product mass shares of 0.6 and 0.4.</t>
        </is>
      </c>
      <c r="D3" t="inlineStr" s="1">
        <is>
          <t xml:space="preserve">The two goods are produced in the same controlled period and the reconciled product ledger provides complete mass shares summing to one.</t>
        </is>
      </c>
      <c r="E3" t="inlineStr" s="1">
        <is>
          <t xml:space="preserve">Commission Implementing Regulation (EU) 2025/2547 allocation and monitoring-plan requirements; controlled production ledger.</t>
        </is>
      </c>
      <c r="F3" t="inlineStr" s="5">
        <is>
          <t xml:space="preserve">ACCEPTED</t>
        </is>
      </c>
      <c r="G3" t="inlineStr" s="1">
        <is>
          <t xml:space="preserve">EU-CBAM-DEFINITIVE-2026</t>
        </is>
      </c>
      <c r="H3" t="inlineStr" s="1">
        <is>
          <t xml:space="preserve">11111111-1111-4111-8111-444444444444</t>
        </is>
      </c>
    </row>
  </sheetData>
  <autoFilter ref="A1:H3"/>
  <sheetProtection sheet="1" objects="1" scenarios="1" selectLockedCells="1" selectUnlockedCells="1" formatCells="0" formatColumns="0" formatRows="0" insertColumns="0" insertRows="0" insertHyperlinks="0" deleteColumns="0" deleteRows="0" sort="0" autoFilter="0" pivotTables="0"/>
  <conditionalFormatting sqref="F2:F1048576">
    <cfRule type="containsText" dxfId="0" priority="1" operator="containsText" text="PASS">
      <formula>NOT(ISERROR(SEARCH("PASS",F2)))</formula>
    </cfRule>
    <cfRule type="containsText" dxfId="0" priority="2" operator="containsText" text="DOCUMENTED">
      <formula>NOT(ISERROR(SEARCH("DOCUMENTED",F2)))</formula>
    </cfRule>
    <cfRule type="containsText" dxfId="1" priority="3" operator="containsText" text="WARNING">
      <formula>NOT(ISERROR(SEARCH("WARNING",F2)))</formula>
    </cfRule>
    <cfRule type="containsText" dxfId="2" priority="4" operator="containsText" text="BLOCKER">
      <formula>NOT(ISERROR(SEARCH("BLOCKER",F2)))</formula>
    </cfRule>
    <cfRule type="containsText" dxfId="2" priority="5" operator="containsText" text="GAP">
      <formula>NOT(ISERROR(SEARCH("GAP",F2)))</formula>
    </cfRule>
  </conditionalFormatting>
  <printOptions horizontalCentered="0" verticalCentered="0"/>
  <pageMargins left="0.25" right="0.25" top="0.5" bottom="0.5" header="0.2" footer="0.2"/>
  <pageSetup orientation="landscape" fitToWidth="1" fitToHeight="0" paperSize="9"/>
</worksheet>
</file>

<file path=xl/worksheets/sheet9.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15" customWidth="1"/>
    <col min="2" max="2" width="76" customWidth="1"/>
    <col min="3" max="3" width="18" customWidth="1"/>
    <col min="4" max="4" width="90" customWidth="1"/>
  </cols>
  <sheetData>
    <row r="1" ht="24" customHeight="1">
      <c r="A1" t="inlineStr" s="3">
        <is>
          <t xml:space="preserve">Requirement</t>
        </is>
      </c>
      <c r="B1" t="inlineStr" s="3">
        <is>
          <t xml:space="preserve">Definitive-period monitoring-plan element</t>
        </is>
      </c>
      <c r="C1" t="inlineStr" s="3">
        <is>
          <t xml:space="preserve">Status</t>
        </is>
      </c>
      <c r="D1" t="inlineStr" s="3">
        <is>
          <t xml:space="preserve">Evidence / basis</t>
        </is>
      </c>
    </row>
    <row r="2">
      <c r="A2" t="inlineStr" s="1">
        <is>
          <t xml:space="preserve">MP-01</t>
        </is>
      </c>
      <c r="B2" t="inlineStr" s="1">
        <is>
          <t xml:space="preserve">Monitoring-plan date, version and responsible operator identity</t>
        </is>
      </c>
      <c r="C2" t="inlineStr" s="5">
        <is>
          <t xml:space="preserve">DOCUMENTED</t>
        </is>
      </c>
      <c r="D2" t="inlineStr" s="1">
        <is>
          <t xml:space="preserve">Case version 1; owner recorded</t>
        </is>
      </c>
    </row>
    <row r="3">
      <c r="A3" t="inlineStr" s="1">
        <is>
          <t xml:space="preserve">MP-02</t>
        </is>
      </c>
      <c r="B3" t="inlineStr" s="1">
        <is>
          <t xml:space="preserve">Installation description and production processes</t>
        </is>
      </c>
      <c r="C3" t="inlineStr" s="5">
        <is>
          <t xml:space="preserve">DOCUMENTED</t>
        </is>
      </c>
      <c r="D3" t="inlineStr" s="1">
        <is>
          <t xml:space="preserve">Blast Furnace Route (BF-BOF)</t>
        </is>
      </c>
    </row>
    <row r="4">
      <c r="A4" t="inlineStr" s="1">
        <is>
          <t xml:space="preserve">MP-03</t>
        </is>
      </c>
      <c r="B4" t="inlineStr" s="1">
        <is>
          <t xml:space="preserve">CN-coded goods and functional production units</t>
        </is>
      </c>
      <c r="C4" t="inlineStr" s="5">
        <is>
          <t xml:space="preserve">DOCUMENTED</t>
        </is>
      </c>
      <c r="D4" t="inlineStr" s="1">
        <is>
          <t xml:space="preserve">2 good(s) recorded</t>
        </is>
      </c>
    </row>
    <row r="5">
      <c r="A5" t="inlineStr" s="1">
        <is>
          <t xml:space="preserve">MP-04</t>
        </is>
      </c>
      <c r="B5" t="inlineStr" s="1">
        <is>
          <t xml:space="preserve">System boundaries and directly connected processes</t>
        </is>
      </c>
      <c r="C5" t="inlineStr" s="5">
        <is>
          <t xml:space="preserve">DOCUMENTED</t>
        </is>
      </c>
      <c r="D5" t="inlineStr" s="1">
        <is>
          <t xml:space="preserve">Coke preparation, sinter plant, blast furnace, basic oxygen furnace, casting and finishing operations within the controlled installation boundary.</t>
        </is>
      </c>
    </row>
    <row r="6">
      <c r="A6" t="inlineStr" s="1">
        <is>
          <t xml:space="preserve">MP-05</t>
        </is>
      </c>
      <c r="B6" t="inlineStr" s="1">
        <is>
          <t xml:space="preserve">Source streams, emission sources and measurement methods</t>
        </is>
      </c>
      <c r="C6" t="inlineStr" s="5">
        <is>
          <t xml:space="preserve">DOCUMENTED</t>
        </is>
      </c>
      <c r="D6" t="inlineStr" s="1">
        <is>
          <t xml:space="preserve">0 precursor(s); direct and electricity inputs recorded</t>
        </is>
      </c>
    </row>
    <row r="7">
      <c r="A7" t="inlineStr" s="1">
        <is>
          <t xml:space="preserve">MP-06</t>
        </is>
      </c>
      <c r="B7" t="inlineStr" s="1">
        <is>
          <t xml:space="preserve">Data-source hierarchy, corroboration and control activities</t>
        </is>
      </c>
      <c r="C7" t="inlineStr" s="5">
        <is>
          <t xml:space="preserve">DOCUMENTED</t>
        </is>
      </c>
      <c r="D7" t="inlineStr" s="1">
        <is>
          <t xml:space="preserve">5 approved and clean evidence file(s)</t>
        </is>
      </c>
    </row>
    <row r="8">
      <c r="A8" t="inlineStr" s="1">
        <is>
          <t xml:space="preserve">MP-07</t>
        </is>
      </c>
      <c r="B8" t="inlineStr" s="1">
        <is>
          <t xml:space="preserve">Calculation methods, conversions and rounding</t>
        </is>
      </c>
      <c r="C8" t="inlineStr" s="5">
        <is>
          <t xml:space="preserve">DOCUMENTED</t>
        </is>
      </c>
      <c r="D8" t="inlineStr" s="1">
        <is>
          <t xml:space="preserve">10 hashed trace node(s)</t>
        </is>
      </c>
    </row>
    <row r="9">
      <c r="A9" t="inlineStr" s="1">
        <is>
          <t xml:space="preserve">MP-08</t>
        </is>
      </c>
      <c r="B9" t="inlineStr" s="1">
        <is>
          <t xml:space="preserve">Goods allocation method and reconciliation</t>
        </is>
      </c>
      <c r="C9" t="inlineStr" s="5">
        <is>
          <t xml:space="preserve">DOCUMENTED</t>
        </is>
      </c>
      <c r="D9" t="inlineStr" s="1">
        <is>
          <t xml:space="preserve">Allocation delta 0</t>
        </is>
      </c>
    </row>
    <row r="10">
      <c r="A10" t="inlineStr" s="1">
        <is>
          <t xml:space="preserve">MP-09</t>
        </is>
      </c>
      <c r="B10" t="inlineStr" s="1">
        <is>
          <t xml:space="preserve">Precursor scope and embedded emissions treatment</t>
        </is>
      </c>
      <c r="C10" t="inlineStr" s="5">
        <is>
          <t xml:space="preserve">DOCUMENTED</t>
        </is>
      </c>
      <c r="D10" t="inlineStr" s="1">
        <is>
          <t xml:space="preserve">Accepted no-precursor decision</t>
        </is>
      </c>
    </row>
    <row r="11">
      <c r="A11" t="inlineStr" s="1">
        <is>
          <t xml:space="preserve">MP-10</t>
        </is>
      </c>
      <c r="B11" t="inlineStr" s="1">
        <is>
          <t xml:space="preserve">Methodology deviations, estimates and technical justifications</t>
        </is>
      </c>
      <c r="C11" t="inlineStr" s="5">
        <is>
          <t xml:space="preserve">DOCUMENTED</t>
        </is>
      </c>
      <c r="D11" t="inlineStr" s="1">
        <is>
          <t xml:space="preserve">2/2 methodology decision(s) accepted</t>
        </is>
      </c>
    </row>
    <row r="12">
      <c r="A12" t="inlineStr" s="1">
        <is>
          <t xml:space="preserve">MP-11</t>
        </is>
      </c>
      <c r="B12" t="inlineStr" s="1">
        <is>
          <t xml:space="preserve">Per-good materiality assessment</t>
        </is>
      </c>
      <c r="C12" t="inlineStr" s="5">
        <is>
          <t xml:space="preserve">DOCUMENTED</t>
        </is>
      </c>
      <c r="D12" t="inlineStr" s="1">
        <is>
          <t xml:space="preserve">5% per-good specific-emissions threshold (PROVISIONAL_FOR_VERIFIER_PLANNING)</t>
        </is>
      </c>
    </row>
    <row r="13">
      <c r="A13" t="inlineStr" s="1">
        <is>
          <t xml:space="preserve">MP-12</t>
        </is>
      </c>
      <c r="B13" t="inlineStr" s="1">
        <is>
          <t xml:space="preserve">Evidence integrity and immutable calculation provenance</t>
        </is>
      </c>
      <c r="C13" t="inlineStr" s="5">
        <is>
          <t xml:space="preserve">DOCUMENTED</t>
        </is>
      </c>
      <c r="D13" t="inlineStr" s="1">
        <is>
          <t xml:space="preserve">Calculation root 9974e21ed553c7a029348d88c16204a5c9107d0f3cf4780eb8f137ab077ee62d</t>
        </is>
      </c>
    </row>
  </sheetData>
  <autoFilter ref="A1:D13"/>
  <sheetProtection sheet="1" objects="1" scenarios="1" selectLockedCells="1" selectUnlockedCells="1" formatCells="0" formatColumns="0" formatRows="0" insertColumns="0" insertRows="0" insertHyperlinks="0" deleteColumns="0" deleteRows="0" sort="0" autoFilter="0" pivotTables="0"/>
  <conditionalFormatting sqref="C2:C1048576">
    <cfRule type="containsText" dxfId="0" priority="1" operator="containsText" text="PASS">
      <formula>NOT(ISERROR(SEARCH("PASS",C2)))</formula>
    </cfRule>
    <cfRule type="containsText" dxfId="0" priority="2" operator="containsText" text="DOCUMENTED">
      <formula>NOT(ISERROR(SEARCH("DOCUMENTED",C2)))</formula>
    </cfRule>
    <cfRule type="containsText" dxfId="1" priority="3" operator="containsText" text="WARNING">
      <formula>NOT(ISERROR(SEARCH("WARNING",C2)))</formula>
    </cfRule>
    <cfRule type="containsText" dxfId="2" priority="4" operator="containsText" text="BLOCKER">
      <formula>NOT(ISERROR(SEARCH("BLOCKER",C2)))</formula>
    </cfRule>
    <cfRule type="containsText" dxfId="2" priority="5" operator="containsText" text="GAP">
      <formula>NOT(ISERROR(SEARCH("GAP",C2)))</formula>
    </cfRule>
  </conditionalFormatting>
  <printOptions horizontalCentered="0" verticalCentered="0"/>
  <pageMargins left="0.25" right="0.25" top="0.5" bottom="0.5" header="0.2" footer="0.2"/>
  <pageSetup orientation="landscape" fitToWidth="1" fitToHeight="0" paperSize="9"/>
</worksheet>
</file>

<file path=xl/worksheets/sheet10.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18" customWidth="1"/>
    <col min="2" max="2" width="48" customWidth="1"/>
    <col min="3" max="3" width="18" customWidth="1"/>
    <col min="4" max="4" width="78" customWidth="1"/>
    <col min="5" max="5" width="38" customWidth="1"/>
  </cols>
  <sheetData>
    <row r="1" ht="24" customHeight="1">
      <c r="A1" t="inlineStr" s="3">
        <is>
          <t xml:space="preserve">Rule</t>
        </is>
      </c>
      <c r="B1" t="inlineStr" s="3">
        <is>
          <t xml:space="preserve">Name</t>
        </is>
      </c>
      <c r="C1" t="inlineStr" s="3">
        <is>
          <t xml:space="preserve">Status</t>
        </is>
      </c>
      <c r="D1" t="inlineStr" s="3">
        <is>
          <t xml:space="preserve">Message</t>
        </is>
      </c>
      <c r="E1" t="inlineStr" s="3">
        <is>
          <t xml:space="preserve">Remediation</t>
        </is>
      </c>
    </row>
    <row r="2">
      <c r="A2" t="inlineStr" s="1">
        <is>
          <t xml:space="preserve">QC_SCENARIO</t>
        </is>
      </c>
      <c r="B2" t="inlineStr" s="1">
        <is>
          <t xml:space="preserve">Illustrative scenario replacement</t>
        </is>
      </c>
      <c r="C2" t="inlineStr" s="1">
        <is>
          <t xml:space="preserve">NOT_APPLICABLE</t>
        </is>
      </c>
      <c r="D2" t="inlineStr" s="1">
        <is>
          <t xml:space="preserve"/>
        </is>
      </c>
      <c r="E2" t="inlineStr" s="1">
        <is>
          <t xml:space="preserve"/>
        </is>
      </c>
    </row>
    <row r="3">
      <c r="A3" t="inlineStr" s="1">
        <is>
          <t xml:space="preserve">QC_00</t>
        </is>
      </c>
      <c r="B3" t="inlineStr" s="1">
        <is>
          <t xml:space="preserve">Operator, installation and boundary identity</t>
        </is>
      </c>
      <c r="C3" t="inlineStr" s="5">
        <is>
          <t xml:space="preserve">PASS</t>
        </is>
      </c>
      <c r="D3" t="inlineStr" s="1">
        <is>
          <t xml:space="preserve"/>
        </is>
      </c>
      <c r="E3" t="inlineStr" s="1">
        <is>
          <t xml:space="preserve">REM_COMPLETE_CASE_IDENTITY</t>
        </is>
      </c>
    </row>
    <row r="4">
      <c r="A4" t="inlineStr" s="1">
        <is>
          <t xml:space="preserve">QC_00_ORIGIN</t>
        </is>
      </c>
      <c r="B4" t="inlineStr" s="1">
        <is>
          <t xml:space="preserve">Installation country of origin CBAM scope</t>
        </is>
      </c>
      <c r="C4" t="inlineStr" s="5">
        <is>
          <t xml:space="preserve">PASS</t>
        </is>
      </c>
      <c r="D4" t="inlineStr" s="1">
        <is>
          <t xml:space="preserve"/>
        </is>
      </c>
      <c r="E4" t="inlineStr" s="1">
        <is>
          <t xml:space="preserve"/>
        </is>
      </c>
    </row>
    <row r="5">
      <c r="A5" t="inlineStr" s="1">
        <is>
          <t xml:space="preserve">QC_01</t>
        </is>
      </c>
      <c r="B5" t="inlineStr" s="1">
        <is>
          <t xml:space="preserve">EORI format and evidence</t>
        </is>
      </c>
      <c r="C5" t="inlineStr" s="5">
        <is>
          <t xml:space="preserve">PASS</t>
        </is>
      </c>
      <c r="D5" t="inlineStr" s="1">
        <is>
          <t xml:space="preserve"/>
        </is>
      </c>
      <c r="E5" t="inlineStr" s="1">
        <is>
          <t xml:space="preserve"/>
        </is>
      </c>
    </row>
    <row r="6">
      <c r="A6" t="inlineStr" s="1">
        <is>
          <t xml:space="preserve">QC_02</t>
        </is>
      </c>
      <c r="B6" t="inlineStr" s="1">
        <is>
          <t xml:space="preserve">Definitive-period reporting year</t>
        </is>
      </c>
      <c r="C6" t="inlineStr" s="5">
        <is>
          <t xml:space="preserve">PASS</t>
        </is>
      </c>
      <c r="D6" t="inlineStr" s="1">
        <is>
          <t xml:space="preserve"/>
        </is>
      </c>
      <c r="E6" t="inlineStr" s="1">
        <is>
          <t xml:space="preserve">REM_CORRECT_REPORTING_YEAR</t>
        </is>
      </c>
    </row>
    <row r="7">
      <c r="A7" t="inlineStr" s="1">
        <is>
          <t xml:space="preserve">QC_03_0</t>
        </is>
      </c>
      <c r="B7" t="inlineStr" s="1">
        <is>
          <t xml:space="preserve">Good 1 CN code and evidence</t>
        </is>
      </c>
      <c r="C7" t="inlineStr" s="5">
        <is>
          <t xml:space="preserve">PASS</t>
        </is>
      </c>
      <c r="D7" t="inlineStr" s="1">
        <is>
          <t xml:space="preserve"/>
        </is>
      </c>
      <c r="E7" t="inlineStr" s="1">
        <is>
          <t xml:space="preserve"/>
        </is>
      </c>
    </row>
    <row r="8">
      <c r="A8" t="inlineStr" s="1">
        <is>
          <t xml:space="preserve">QC_04_0</t>
        </is>
      </c>
      <c r="B8" t="inlineStr" s="1">
        <is>
          <t xml:space="preserve">Good 1 production and evidence</t>
        </is>
      </c>
      <c r="C8" t="inlineStr" s="5">
        <is>
          <t xml:space="preserve">PASS</t>
        </is>
      </c>
      <c r="D8" t="inlineStr" s="1">
        <is>
          <t xml:space="preserve"/>
        </is>
      </c>
      <c r="E8" t="inlineStr" s="1">
        <is>
          <t xml:space="preserve"/>
        </is>
      </c>
    </row>
    <row r="9">
      <c r="A9" t="inlineStr" s="1">
        <is>
          <t xml:space="preserve">QC_05_0</t>
        </is>
      </c>
      <c r="B9" t="inlineStr" s="1">
        <is>
          <t xml:space="preserve">Good 1 sector</t>
        </is>
      </c>
      <c r="C9" t="inlineStr" s="5">
        <is>
          <t xml:space="preserve">PASS</t>
        </is>
      </c>
      <c r="D9" t="inlineStr" s="1">
        <is>
          <t xml:space="preserve"/>
        </is>
      </c>
      <c r="E9" t="inlineStr" s="1">
        <is>
          <t xml:space="preserve">REM_SELECT_SUPPORTED_SECTOR</t>
        </is>
      </c>
    </row>
    <row r="10">
      <c r="A10" t="inlineStr" s="1">
        <is>
          <t xml:space="preserve">QC_03_1</t>
        </is>
      </c>
      <c r="B10" t="inlineStr" s="1">
        <is>
          <t xml:space="preserve">Good 2 CN code and evidence</t>
        </is>
      </c>
      <c r="C10" t="inlineStr" s="5">
        <is>
          <t xml:space="preserve">PASS</t>
        </is>
      </c>
      <c r="D10" t="inlineStr" s="1">
        <is>
          <t xml:space="preserve"/>
        </is>
      </c>
      <c r="E10" t="inlineStr" s="1">
        <is>
          <t xml:space="preserve"/>
        </is>
      </c>
    </row>
    <row r="11">
      <c r="A11" t="inlineStr" s="1">
        <is>
          <t xml:space="preserve">QC_04_1</t>
        </is>
      </c>
      <c r="B11" t="inlineStr" s="1">
        <is>
          <t xml:space="preserve">Good 2 production and evidence</t>
        </is>
      </c>
      <c r="C11" t="inlineStr" s="5">
        <is>
          <t xml:space="preserve">PASS</t>
        </is>
      </c>
      <c r="D11" t="inlineStr" s="1">
        <is>
          <t xml:space="preserve"/>
        </is>
      </c>
      <c r="E11" t="inlineStr" s="1">
        <is>
          <t xml:space="preserve"/>
        </is>
      </c>
    </row>
    <row r="12">
      <c r="A12" t="inlineStr" s="1">
        <is>
          <t xml:space="preserve">QC_05_1</t>
        </is>
      </c>
      <c r="B12" t="inlineStr" s="1">
        <is>
          <t xml:space="preserve">Good 2 sector</t>
        </is>
      </c>
      <c r="C12" t="inlineStr" s="5">
        <is>
          <t xml:space="preserve">PASS</t>
        </is>
      </c>
      <c r="D12" t="inlineStr" s="1">
        <is>
          <t xml:space="preserve"/>
        </is>
      </c>
      <c r="E12" t="inlineStr" s="1">
        <is>
          <t xml:space="preserve">REM_SELECT_SUPPORTED_SECTOR</t>
        </is>
      </c>
    </row>
    <row r="13">
      <c r="A13" t="inlineStr" s="1">
        <is>
          <t xml:space="preserve">QC_05A</t>
        </is>
      </c>
      <c r="B13" t="inlineStr" s="1">
        <is>
          <t xml:space="preserve">Allocation, evidence and reconciliation</t>
        </is>
      </c>
      <c r="C13" t="inlineStr" s="5">
        <is>
          <t xml:space="preserve">PASS</t>
        </is>
      </c>
      <c r="D13" t="inlineStr" s="1">
        <is>
          <t xml:space="preserve"/>
        </is>
      </c>
      <c r="E13" t="inlineStr" s="1">
        <is>
          <t xml:space="preserve"/>
        </is>
      </c>
    </row>
    <row r="14">
      <c r="A14" t="inlineStr" s="1">
        <is>
          <t xml:space="preserve">QC_06</t>
        </is>
      </c>
      <c r="B14" t="inlineStr" s="1">
        <is>
          <t xml:space="preserve">directEmissions value, unit and evidence</t>
        </is>
      </c>
      <c r="C14" t="inlineStr" s="5">
        <is>
          <t xml:space="preserve">PASS</t>
        </is>
      </c>
      <c r="D14" t="inlineStr" s="1">
        <is>
          <t xml:space="preserve"/>
        </is>
      </c>
      <c r="E14" t="inlineStr" s="1">
        <is>
          <t xml:space="preserve"/>
        </is>
      </c>
    </row>
    <row r="15">
      <c r="A15" t="inlineStr" s="1">
        <is>
          <t xml:space="preserve">QC_07</t>
        </is>
      </c>
      <c r="B15" t="inlineStr" s="1">
        <is>
          <t xml:space="preserve">electricityConsumed value, unit and evidence</t>
        </is>
      </c>
      <c r="C15" t="inlineStr" s="5">
        <is>
          <t xml:space="preserve">PASS</t>
        </is>
      </c>
      <c r="D15" t="inlineStr" s="1">
        <is>
          <t xml:space="preserve"/>
        </is>
      </c>
      <c r="E15" t="inlineStr" s="1">
        <is>
          <t xml:space="preserve"/>
        </is>
      </c>
    </row>
    <row r="16">
      <c r="A16" t="inlineStr" s="1">
        <is>
          <t xml:space="preserve">QC_08</t>
        </is>
      </c>
      <c r="B16" t="inlineStr" s="1">
        <is>
          <t xml:space="preserve">gridEmissionFactor value, unit and evidence</t>
        </is>
      </c>
      <c r="C16" t="inlineStr" s="5">
        <is>
          <t xml:space="preserve">PASS</t>
        </is>
      </c>
      <c r="D16" t="inlineStr" s="1">
        <is>
          <t xml:space="preserve"/>
        </is>
      </c>
      <c r="E16" t="inlineStr" s="1">
        <is>
          <t xml:space="preserve"/>
        </is>
      </c>
    </row>
    <row r="17">
      <c r="A17" t="inlineStr" s="1">
        <is>
          <t xml:space="preserve">QC_09</t>
        </is>
      </c>
      <c r="B17" t="inlineStr" s="1">
        <is>
          <t xml:space="preserve">Precursor scope</t>
        </is>
      </c>
      <c r="C17" t="inlineStr" s="5">
        <is>
          <t xml:space="preserve">PASS</t>
        </is>
      </c>
      <c r="D17" t="inlineStr" s="1">
        <is>
          <t xml:space="preserve"/>
        </is>
      </c>
      <c r="E17" t="inlineStr" s="1">
        <is>
          <t xml:space="preserve">REM_CONFIRM_PRECURSOR_SCOPE</t>
        </is>
      </c>
    </row>
    <row r="18">
      <c r="A18" t="inlineStr" s="1">
        <is>
          <t xml:space="preserve">QC_10</t>
        </is>
      </c>
      <c r="B18" t="inlineStr" s="1">
        <is>
          <t xml:space="preserve">Evidence integrity</t>
        </is>
      </c>
      <c r="C18" t="inlineStr" s="5">
        <is>
          <t xml:space="preserve">PASS</t>
        </is>
      </c>
      <c r="D18" t="inlineStr" s="1">
        <is>
          <t xml:space="preserve"/>
        </is>
      </c>
      <c r="E18" t="inlineStr" s="1">
        <is>
          <t xml:space="preserve"/>
        </is>
      </c>
    </row>
    <row r="19">
      <c r="A19" t="inlineStr" s="1">
        <is>
          <t xml:space="preserve">QC_11_55555555-5555-4555-8555-555555555555</t>
        </is>
      </c>
      <c r="B19" t="inlineStr" s="1">
        <is>
          <t xml:space="preserve">Carbon price proof</t>
        </is>
      </c>
      <c r="C19" t="inlineStr" s="5">
        <is>
          <t xml:space="preserve">PASS</t>
        </is>
      </c>
      <c r="D19" t="inlineStr" s="1">
        <is>
          <t xml:space="preserve"/>
        </is>
      </c>
      <c r="E19" t="inlineStr" s="1">
        <is>
          <t xml:space="preserve"/>
        </is>
      </c>
    </row>
    <row r="20">
      <c r="A20" t="inlineStr" s="1">
        <is>
          <t xml:space="preserve">QC_12</t>
        </is>
      </c>
      <c r="B20" t="inlineStr" s="1">
        <is>
          <t xml:space="preserve">Goods cross-artifact consistency</t>
        </is>
      </c>
      <c r="C20" t="inlineStr" s="5">
        <is>
          <t xml:space="preserve">PASS</t>
        </is>
      </c>
      <c r="D20" t="inlineStr" s="1">
        <is>
          <t xml:space="preserve"/>
        </is>
      </c>
      <c r="E20" t="inlineStr" s="1">
        <is>
          <t xml:space="preserve"/>
        </is>
      </c>
    </row>
  </sheetData>
  <autoFilter ref="A1:E20"/>
  <sheetProtection sheet="1" objects="1" scenarios="1" selectLockedCells="1" selectUnlockedCells="1" formatCells="0" formatColumns="0" formatRows="0" insertColumns="0" insertRows="0" insertHyperlinks="0" deleteColumns="0" deleteRows="0" sort="0" autoFilter="0" pivotTables="0"/>
  <conditionalFormatting sqref="C2:C1048576">
    <cfRule type="containsText" dxfId="0" priority="1" operator="containsText" text="PASS">
      <formula>NOT(ISERROR(SEARCH("PASS",C2)))</formula>
    </cfRule>
    <cfRule type="containsText" dxfId="0" priority="2" operator="containsText" text="DOCUMENTED">
      <formula>NOT(ISERROR(SEARCH("DOCUMENTED",C2)))</formula>
    </cfRule>
    <cfRule type="containsText" dxfId="1" priority="3" operator="containsText" text="WARNING">
      <formula>NOT(ISERROR(SEARCH("WARNING",C2)))</formula>
    </cfRule>
    <cfRule type="containsText" dxfId="2" priority="4" operator="containsText" text="BLOCKER">
      <formula>NOT(ISERROR(SEARCH("BLOCKER",C2)))</formula>
    </cfRule>
    <cfRule type="containsText" dxfId="2" priority="5" operator="containsText" text="GAP">
      <formula>NOT(ISERROR(SEARCH("GAP",C2)))</formula>
    </cfRule>
  </conditionalFormatting>
  <printOptions horizontalCentered="0" verticalCentered="0"/>
  <pageMargins left="0.25" right="0.25" top="0.5" bottom="0.5" header="0.2" footer="0.2"/>
  <pageSetup orientation="landscape" fitToWidth="1" fitToHeight="0" paperSize="9"/>
</worksheet>
</file>

<file path=xl/worksheets/sheet11.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0" customWidth="1"/>
    <col min="2" max="2" width="42" customWidth="1"/>
    <col min="3" max="3" width="22" customWidth="1"/>
    <col min="4" max="4" width="18" customWidth="1"/>
    <col min="5" max="5" width="68" customWidth="1"/>
    <col min="6" max="6" width="58" customWidth="1"/>
  </cols>
  <sheetData>
    <row r="1" ht="24" customHeight="1">
      <c r="A1" t="inlineStr" s="3">
        <is>
          <t xml:space="preserve">Calculation ID</t>
        </is>
      </c>
      <c r="B1" t="inlineStr" s="3">
        <is>
          <t xml:space="preserve">Formula</t>
        </is>
      </c>
      <c r="C1" t="inlineStr" s="3">
        <is>
          <t xml:space="preserve">Output</t>
        </is>
      </c>
      <c r="D1" t="inlineStr" s="3">
        <is>
          <t xml:space="preserve">Unit</t>
        </is>
      </c>
      <c r="E1" t="inlineStr" s="3">
        <is>
          <t xml:space="preserve">SHA-256</t>
        </is>
      </c>
      <c r="F1" t="inlineStr" s="3">
        <is>
          <t xml:space="preserve">Warnings / assumptions</t>
        </is>
      </c>
    </row>
    <row r="2">
      <c r="A2" t="inlineStr" s="1">
        <is>
          <t xml:space="preserve">calc_7e1498210522444ae03dbb6106b3a5cb</t>
        </is>
      </c>
      <c r="B2" t="inlineStr" s="1">
        <is>
          <t xml:space="preserve">CBAM_INSTALLATION_DIRECT_EMISSIONS</t>
        </is>
      </c>
      <c r="C2" t="inlineStr" s="1">
        <is>
          <t xml:space="preserve">80</t>
        </is>
      </c>
      <c r="D2" t="inlineStr" s="1">
        <is>
          <t xml:space="preserve">tCO2e</t>
        </is>
      </c>
      <c r="E2" t="inlineStr" s="1">
        <is>
          <t xml:space="preserve">690085cd04f6102b1d2617fa92b671e089632e2db84f8c657a521938be42eb57</t>
        </is>
      </c>
      <c r="F2" t="inlineStr" s="1">
        <is>
          <t xml:space="preserve"/>
        </is>
      </c>
    </row>
    <row r="3">
      <c r="A3" t="inlineStr" s="1">
        <is>
          <t xml:space="preserve">calc_90bff6dba51677ea832d6a39caa9cb59</t>
        </is>
      </c>
      <c r="B3" t="inlineStr" s="1">
        <is>
          <t xml:space="preserve">CBAM_INDIRECT_EMISSIONS</t>
        </is>
      </c>
      <c r="C3" t="inlineStr" s="1">
        <is>
          <t xml:space="preserve">40</t>
        </is>
      </c>
      <c r="D3" t="inlineStr" s="1">
        <is>
          <t xml:space="preserve">tCO2e</t>
        </is>
      </c>
      <c r="E3" t="inlineStr" s="1">
        <is>
          <t xml:space="preserve">98a76aac49f58cbd4c0ad68637e03e592b2dd2e0bc7208a8062648de29ffe081</t>
        </is>
      </c>
      <c r="F3" t="inlineStr" s="1">
        <is>
          <t xml:space="preserve"/>
        </is>
      </c>
    </row>
    <row r="4">
      <c r="A4" t="inlineStr" s="1">
        <is>
          <t xml:space="preserve">calc_072b9a66e02f907c3773a5c911fa2cd3</t>
        </is>
      </c>
      <c r="B4" t="inlineStr" s="1">
        <is>
          <t xml:space="preserve">CBAM_PRECURSOR_EMISSIONS_SUM</t>
        </is>
      </c>
      <c r="C4" t="inlineStr" s="1">
        <is>
          <t xml:space="preserve">0</t>
        </is>
      </c>
      <c r="D4" t="inlineStr" s="1">
        <is>
          <t xml:space="preserve">tCO2e</t>
        </is>
      </c>
      <c r="E4" t="inlineStr" s="1">
        <is>
          <t xml:space="preserve">a42adefa11c2318ea97772635232793e49b9eea363aa214792981361dd7b5c8f</t>
        </is>
      </c>
      <c r="F4" t="inlineStr" s="1">
        <is>
          <t xml:space="preserve"/>
        </is>
      </c>
    </row>
    <row r="5">
      <c r="A5" t="inlineStr" s="1">
        <is>
          <t xml:space="preserve">calc_51d89a66ef242ddb996ab391a4bc0675</t>
        </is>
      </c>
      <c r="B5" t="inlineStr" s="1">
        <is>
          <t xml:space="preserve">CBAM_TOTAL_EMBEDDED_EMISSIONS_DISCLOSED</t>
        </is>
      </c>
      <c r="C5" t="inlineStr" s="1">
        <is>
          <t xml:space="preserve">120</t>
        </is>
      </c>
      <c r="D5" t="inlineStr" s="1">
        <is>
          <t xml:space="preserve">tCO2e</t>
        </is>
      </c>
      <c r="E5" t="inlineStr" s="1">
        <is>
          <t xml:space="preserve">3bd0d06237ae6b808a635fb731efb40b74fb90a51e42bfe49ed064cb41f03e2f</t>
        </is>
      </c>
      <c r="F5" t="inlineStr" s="1">
        <is>
          <t xml:space="preserve">Disclosed total combines direct and indirect emissions before sector-specific pricing rules.</t>
        </is>
      </c>
    </row>
    <row r="6">
      <c r="A6" t="inlineStr" s="1">
        <is>
          <t xml:space="preserve">calc_c9b675a88bbe12e9e0499e2c41146bd4</t>
        </is>
      </c>
      <c r="B6" t="inlineStr" s="1">
        <is>
          <t xml:space="preserve">CBAM_GOOD_EMISSIONS_ALLOCATION_1</t>
        </is>
      </c>
      <c r="C6" t="inlineStr" s="1">
        <is>
          <t xml:space="preserve">0.8</t>
        </is>
      </c>
      <c r="D6" t="inlineStr" s="1">
        <is>
          <t xml:space="preserve">tCO2e/t</t>
        </is>
      </c>
      <c r="E6" t="inlineStr" s="1">
        <is>
          <t xml:space="preserve">137fc83c1e53a213bd38caccb4359607638050549305b90e340da30d856a26c1</t>
        </is>
      </c>
      <c r="F6" t="inlineStr" s="1">
        <is>
          <t xml:space="preserve"/>
        </is>
      </c>
    </row>
    <row r="7">
      <c r="A7" t="inlineStr" s="1">
        <is>
          <t xml:space="preserve">calc_abc058b793bf631c47e250d0e59d3959</t>
        </is>
      </c>
      <c r="B7" t="inlineStr" s="1">
        <is>
          <t xml:space="preserve">CBAM_GOOD_EMISSIONS_ALLOCATION_2</t>
        </is>
      </c>
      <c r="C7" t="inlineStr" s="1">
        <is>
          <t xml:space="preserve">0.8</t>
        </is>
      </c>
      <c r="D7" t="inlineStr" s="1">
        <is>
          <t xml:space="preserve">tCO2e/t</t>
        </is>
      </c>
      <c r="E7" t="inlineStr" s="1">
        <is>
          <t xml:space="preserve">2670d4a69b964809495520ced63320b6cced57f17d354d9a422aaf1b7c7df0e9</t>
        </is>
      </c>
      <c r="F7" t="inlineStr" s="1">
        <is>
          <t xml:space="preserve"/>
        </is>
      </c>
    </row>
    <row r="8">
      <c r="A8" t="inlineStr" s="1">
        <is>
          <t xml:space="preserve">calc_fd4f5ff4cf9362acbac25669641f9d5c</t>
        </is>
      </c>
      <c r="B8" t="inlineStr" s="1">
        <is>
          <t xml:space="preserve">CBAM_TOTAL_EMBEDDED_EMISSIONS_PRICED</t>
        </is>
      </c>
      <c r="C8" t="inlineStr" s="1">
        <is>
          <t xml:space="preserve">80</t>
        </is>
      </c>
      <c r="D8" t="inlineStr" s="1">
        <is>
          <t xml:space="preserve">tCO2e</t>
        </is>
      </c>
      <c r="E8" t="inlineStr" s="1">
        <is>
          <t xml:space="preserve">1b547bb68197cb8f0357a93b9cd6f8655d4cac8c062d1840050938f4a7d82966</t>
        </is>
      </c>
      <c r="F8" t="inlineStr" s="1">
        <is>
          <t xml:space="preserve">Priced total applies sector Annex II direct-only rules where applicable.</t>
        </is>
      </c>
    </row>
    <row r="9">
      <c r="A9" t="inlineStr" s="1">
        <is>
          <t xml:space="preserve">calc_f213a13f7232d94ecea0c8aac1a09443</t>
        </is>
      </c>
      <c r="B9" t="inlineStr" s="1">
        <is>
          <t xml:space="preserve">CBAM_GOODS_ALLOCATION_RECONCILIATION</t>
        </is>
      </c>
      <c r="C9" t="inlineStr" s="1">
        <is>
          <t xml:space="preserve">0</t>
        </is>
      </c>
      <c r="D9" t="inlineStr" s="1">
        <is>
          <t xml:space="preserve">tCO2e</t>
        </is>
      </c>
      <c r="E9" t="inlineStr" s="1">
        <is>
          <t xml:space="preserve">76091fe6aeb6a241be5e78f0223e8dc69ffda7c5eae1db6c298a6d53f0ab1ce0</t>
        </is>
      </c>
      <c r="F9" t="inlineStr" s="1">
        <is>
          <t xml:space="preserve"/>
        </is>
      </c>
    </row>
    <row r="10">
      <c r="A10" t="inlineStr" s="1">
        <is>
          <t xml:space="preserve">calc_4a06a2c4bcb1ad330a76282ad9f5a585</t>
        </is>
      </c>
      <c r="B10" t="inlineStr" s="1">
        <is>
          <t xml:space="preserve">CBAM_AGGREGATE_SPECIFIC_EMBEDDED_EMISSIONS</t>
        </is>
      </c>
      <c r="C10" t="inlineStr" s="1">
        <is>
          <t xml:space="preserve">0.8</t>
        </is>
      </c>
      <c r="D10" t="inlineStr" s="1">
        <is>
          <t xml:space="preserve">tCO2e/t</t>
        </is>
      </c>
      <c r="E10" t="inlineStr" s="1">
        <is>
          <t xml:space="preserve">bdc01c46d7eb5638aa74127ef82b89f667474b76860ac46f4849f4233dad1153</t>
        </is>
      </c>
      <c r="F10" t="inlineStr" s="1">
        <is>
          <t xml:space="preserve">The aggregate intensity is a portfolio diagnostic; reportable values are the per-good intensities.</t>
        </is>
      </c>
    </row>
    <row r="11">
      <c r="A11" t="inlineStr" s="1">
        <is>
          <t xml:space="preserve">calc_a1cc0229b9b7de5315261c1f764094a3</t>
        </is>
      </c>
      <c r="B11" t="inlineStr" s="1">
        <is>
          <t xml:space="preserve">CBAM_CARBON_PRICE_REDUCTION_RECORD_TOTAL</t>
        </is>
      </c>
      <c r="C11" t="inlineStr" s="1">
        <is>
          <t xml:space="preserve">10</t>
        </is>
      </c>
      <c r="D11" t="inlineStr" s="1">
        <is>
          <t xml:space="preserve">certificate-equivalent</t>
        </is>
      </c>
      <c r="E11" t="inlineStr" s="1">
        <is>
          <t xml:space="preserve">6de700969ce1c750514a4ce1be12d1cac3c5ab0aa49ded70ac630e8cd94ff630</t>
        </is>
      </c>
      <c r="F11" t="inlineStr" s="1">
        <is>
          <t xml:space="preserve">Recognition remains subject to documentary evidence and applicable CBAM rules.</t>
        </is>
      </c>
    </row>
  </sheetData>
  <autoFilter ref="A1:F11"/>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landscape" fitToWidth="1" fitToHeight="0" paperSize="9"/>
</worksheet>
</file>

<file path=xl/worksheets/sheet12.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38" customWidth="1"/>
    <col min="2" max="2" width="18" customWidth="1"/>
    <col min="3" max="3" width="22" customWidth="1"/>
    <col min="4" max="4" width="12" customWidth="1"/>
    <col min="5" max="5" width="20" customWidth="1"/>
    <col min="6" max="6" width="58" customWidth="1"/>
    <col min="7" max="7" width="38" customWidth="1"/>
    <col min="8" max="8" width="22" customWidth="1"/>
  </cols>
  <sheetData>
    <row r="1" ht="24" customHeight="1">
      <c r="A1" t="inlineStr" s="3">
        <is>
          <t xml:space="preserve">Record ID</t>
        </is>
      </c>
      <c r="B1" t="inlineStr" s="3">
        <is>
          <t xml:space="preserve">Amount paid</t>
        </is>
      </c>
      <c r="C1" t="inlineStr" s="3">
        <is>
          <t xml:space="preserve">Applicable emissions</t>
        </is>
      </c>
      <c r="D1" t="inlineStr" s="3">
        <is>
          <t xml:space="preserve">Currency</t>
        </is>
      </c>
      <c r="E1" t="inlineStr" s="3">
        <is>
          <t xml:space="preserve">Period</t>
        </is>
      </c>
      <c r="F1" t="inlineStr" s="3">
        <is>
          <t xml:space="preserve">Legal reference</t>
        </is>
      </c>
      <c r="G1" t="inlineStr" s="3">
        <is>
          <t xml:space="preserve">Payment evidence</t>
        </is>
      </c>
      <c r="H1" t="inlineStr" s="3">
        <is>
          <t xml:space="preserve">Eligible reduction</t>
        </is>
      </c>
    </row>
    <row r="2">
      <c r="A2" t="inlineStr" s="1">
        <is>
          <t xml:space="preserve">55555555-5555-4555-8555-555555555555</t>
        </is>
      </c>
      <c r="B2" t="inlineStr" s="1">
        <is>
          <t xml:space="preserve">1200</t>
        </is>
      </c>
      <c r="C2" t="inlineStr" s="1">
        <is>
          <t xml:space="preserve">10</t>
        </is>
      </c>
      <c r="D2" t="inlineStr" s="1">
        <is>
          <t xml:space="preserve">EUR</t>
        </is>
      </c>
      <c r="E2" t="inlineStr" s="1">
        <is>
          <t xml:space="preserve">2026</t>
        </is>
      </c>
      <c r="F2" t="inlineStr" s="1">
        <is>
          <t xml:space="preserve">Test fixture Art.9 carbon price record for dossier engine tests</t>
        </is>
      </c>
      <c r="G2" t="inlineStr" s="1">
        <is>
          <t xml:space="preserve">11111111-1111-4111-8111-555555555555</t>
        </is>
      </c>
      <c r="H2" t="inlineStr" s="1">
        <is>
          <t xml:space="preserve">10</t>
        </is>
      </c>
    </row>
  </sheetData>
  <autoFilter ref="A1:H2"/>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landscape" fitToWidth="1" fitToHeight="0" paperSize="9"/>
</worksheet>
</file>

<file path=xl/worksheets/sheet13.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20" customWidth="1"/>
    <col min="2" max="2" width="18" customWidth="1"/>
    <col min="3" max="3" width="64" customWidth="1"/>
    <col min="4" max="4" width="74" customWidth="1"/>
    <col min="5" max="5" width="16" customWidth="1"/>
    <col min="6" max="6" width="16" customWidth="1"/>
    <col min="7" max="7" width="66" customWidth="1"/>
  </cols>
  <sheetData>
    <row r="1" ht="24" customHeight="1">
      <c r="A1" t="inlineStr" s="3">
        <is>
          <t xml:space="preserve">Source ID</t>
        </is>
      </c>
      <c r="B1" t="inlineStr" s="3">
        <is>
          <t xml:space="preserve">CELEX</t>
        </is>
      </c>
      <c r="C1" t="inlineStr" s="3">
        <is>
          <t xml:space="preserve">Title</t>
        </is>
      </c>
      <c r="D1" t="inlineStr" s="3">
        <is>
          <t xml:space="preserve">Official EUR-Lex</t>
        </is>
      </c>
      <c r="E1" t="inlineStr" s="3">
        <is>
          <t xml:space="preserve">Applies from</t>
        </is>
      </c>
      <c r="F1" t="inlineStr" s="3">
        <is>
          <t xml:space="preserve">Status</t>
        </is>
      </c>
      <c r="G1" t="inlineStr" s="3">
        <is>
          <t xml:space="preserve">Methodology scope</t>
        </is>
      </c>
    </row>
    <row r="2">
      <c r="A2" t="inlineStr" s="1">
        <is>
          <t xml:space="preserve">REG_2023_956</t>
        </is>
      </c>
      <c r="B2" t="inlineStr" s="1">
        <is>
          <t xml:space="preserve">32023R0956</t>
        </is>
      </c>
      <c r="C2" t="inlineStr" s="1">
        <is>
          <t xml:space="preserve">Regulation (EU) 2023/956 of the European Parliament and of the Council of 10 May 2023 establishing a carbon border adjustment mechanism</t>
        </is>
      </c>
      <c r="D2" t="inlineStr" s="9">
        <is>
          <t xml:space="preserve">https://eur-lex.europa.eu/eli/reg/2023/956/oj/eng</t>
        </is>
      </c>
      <c r="E2" t="inlineStr" s="1">
        <is>
          <t xml:space="preserve">2023-05-17</t>
        </is>
      </c>
      <c r="F2" t="inlineStr" s="5">
        <is>
          <t xml:space="preserve">IN_FORCE</t>
        </is>
      </c>
      <c r="G2" t="inlineStr" s="1">
        <is>
          <t xml:space="preserve">CBAM framework | Annex I goods scope | Annex IV embedded-emissions calculation framework | Annex VI verification principles</t>
        </is>
      </c>
    </row>
    <row r="3">
      <c r="A3" t="inlineStr" s="1">
        <is>
          <t xml:space="preserve">REG_2025_2083</t>
        </is>
      </c>
      <c r="B3" t="inlineStr" s="1">
        <is>
          <t xml:space="preserve">32025R2083</t>
        </is>
      </c>
      <c r="C3" t="inlineStr" s="1">
        <is>
          <t xml:space="preserve">Regulation (EU) 2025/2083 of the European Parliament and of the Council of 8 October 2025 amending Regulation (EU) 2023/956 as regards simplifying and strengthening the carbon border adjustment mechanism</t>
        </is>
      </c>
      <c r="D3" t="inlineStr" s="9">
        <is>
          <t xml:space="preserve">https://eur-lex.europa.eu/eli/reg/2025/2083/oj/eng</t>
        </is>
      </c>
      <c r="E3" t="inlineStr" s="1">
        <is>
          <t xml:space="preserve">2025-10-20</t>
        </is>
      </c>
      <c r="F3" t="inlineStr" s="5">
        <is>
          <t xml:space="preserve">IN_FORCE</t>
        </is>
      </c>
      <c r="G3" t="inlineStr" s="1">
        <is>
          <t xml:space="preserve">50 tonne annual mass threshold for cement, fertilisers, iron and steel, and aluminium | definitive-period declaration and certificate obligations | actual values require independent verification</t>
        </is>
      </c>
    </row>
    <row r="4">
      <c r="A4" t="inlineStr" s="1">
        <is>
          <t xml:space="preserve">IMPL_2025_2546</t>
        </is>
      </c>
      <c r="B4" t="inlineStr" s="1">
        <is>
          <t xml:space="preserve">32025R2546</t>
        </is>
      </c>
      <c r="C4" t="inlineStr" s="1">
        <is>
          <t xml:space="preserve">Commission Implementing Regulation (EU) 2025/2546 of 10 December 2025 on the application of the principles for verification of declared embedded emissions pursuant to Regulation (EU) 2023/956</t>
        </is>
      </c>
      <c r="D4" t="inlineStr" s="9">
        <is>
          <t xml:space="preserve">https://eur-lex.europa.eu/eli/reg_impl/2025/2546/oj/eng</t>
        </is>
      </c>
      <c r="E4" t="inlineStr" s="1">
        <is>
          <t xml:space="preserve">2026-01-01</t>
        </is>
      </c>
      <c r="F4" t="inlineStr" s="5">
        <is>
          <t xml:space="preserve">IN_FORCE</t>
        </is>
      </c>
      <c r="G4" t="inlineStr" s="1">
        <is>
          <t xml:space="preserve">reasonable assurance and risk-based verification | 5 percent per-good materiality levels | electronic verification report template | site-visit requirements and waiver conditions | non-conformity and misstatement classification</t>
        </is>
      </c>
    </row>
    <row r="5">
      <c r="A5" t="inlineStr" s="1">
        <is>
          <t xml:space="preserve">IMPL_2025_2547</t>
        </is>
      </c>
      <c r="B5" t="inlineStr" s="1">
        <is>
          <t xml:space="preserve">32025R2547</t>
        </is>
      </c>
      <c r="C5" t="inlineStr" s="1">
        <is>
          <t xml:space="preserve">Commission Implementing Regulation (EU) 2025/2547 of 10 December 2025 laying down rules for the application of Regulation (EU) 2023/956 as regards the methods for the calculation of emissions embedded in goods</t>
        </is>
      </c>
      <c r="D5" t="inlineStr" s="9">
        <is>
          <t xml:space="preserve">https://eur-lex.europa.eu/eli/reg_impl/2025/2547/oj/eng</t>
        </is>
      </c>
      <c r="E5" t="inlineStr" s="1">
        <is>
          <t xml:space="preserve">2026-01-01</t>
        </is>
      </c>
      <c r="F5" t="inlineStr" s="5">
        <is>
          <t xml:space="preserve">IN_FORCE</t>
        </is>
      </c>
      <c r="G5" t="inlineStr" s="1">
        <is>
          <t xml:space="preserve">functional units and production processes | monitoring plan minimum elements | sector-specific system boundaries and embedded-emissions methods | default values and actual-value calculation methods</t>
        </is>
      </c>
    </row>
    <row r="6">
      <c r="A6" t="inlineStr" s="1">
        <is>
          <t xml:space="preserve">IMPL_2025_2548</t>
        </is>
      </c>
      <c r="B6" t="inlineStr" s="1">
        <is>
          <t xml:space="preserve">32025R2548</t>
        </is>
      </c>
      <c r="C6" t="inlineStr" s="1">
        <is>
          <t xml:space="preserve">Commission Implementing Regulation (EU) 2025/2548 of 10 December 2025 laying down rules for the application of Regulation (EU) 2023/956 as regards the calculation and publication of the price of CBAM certificates</t>
        </is>
      </c>
      <c r="D6" t="inlineStr" s="9">
        <is>
          <t xml:space="preserve">https://eur-lex.europa.eu/eli/reg_impl/2025/2548/oj/eng</t>
        </is>
      </c>
      <c r="E6" t="inlineStr" s="1">
        <is>
          <t xml:space="preserve">2026-01-01</t>
        </is>
      </c>
      <c r="F6" t="inlineStr" s="5">
        <is>
          <t xml:space="preserve">IN_FORCE</t>
        </is>
      </c>
      <c r="G6" t="inlineStr" s="1">
        <is>
          <t xml:space="preserve">calculation and publication of CBAM certificate prices</t>
        </is>
      </c>
    </row>
    <row r="7">
      <c r="A7" t="inlineStr" s="1">
        <is>
          <t xml:space="preserve">DEL_2025_2551</t>
        </is>
      </c>
      <c r="B7" t="inlineStr" s="1">
        <is>
          <t xml:space="preserve">32025R2551</t>
        </is>
      </c>
      <c r="C7" t="inlineStr" s="1">
        <is>
          <t xml:space="preserve">Commission Delegated Regulation (EU) 2025/2551 of 20 November 2025 supplementing Regulation (EU) 2023/956 by specifying the conditions for granting accreditation to verifiers, for the control and oversight of accredited verifiers, for the withdrawal of accreditation and for mutual recognition and peer evaluation of accreditation bodies</t>
        </is>
      </c>
      <c r="D7" t="inlineStr" s="9">
        <is>
          <t xml:space="preserve">https://eur-lex.europa.eu/eli/reg_del/2025/2551/oj/eng</t>
        </is>
      </c>
      <c r="E7" t="inlineStr" s="1">
        <is>
          <t xml:space="preserve">2026-01-01</t>
        </is>
      </c>
      <c r="F7" t="inlineStr" s="5">
        <is>
          <t xml:space="preserve">IN_FORCE</t>
        </is>
      </c>
      <c r="G7" t="inlineStr" s="1">
        <is>
          <t xml:space="preserve">accreditation and competence of verifiers | verification planning, evidence and site-visit framework | oversight and independence</t>
        </is>
      </c>
    </row>
  </sheetData>
  <autoFilter ref="A1:G7"/>
  <sheetProtection sheet="1" objects="1" scenarios="1" selectLockedCells="1" selectUnlockedCells="1" formatCells="0" formatColumns="0" formatRows="0" insertColumns="0" insertRows="0" insertHyperlinks="0" deleteColumns="0" deleteRows="0" sort="0" autoFilter="0" pivotTables="0"/>
  <hyperlinks>
    <hyperlink ref="D2" r:id="rId1"/>
    <hyperlink ref="D3" r:id="rId2"/>
    <hyperlink ref="D4" r:id="rId3"/>
    <hyperlink ref="D5" r:id="rId4"/>
    <hyperlink ref="D6" r:id="rId5"/>
    <hyperlink ref="D7" r:id="rId6"/>
  </hyperlinks>
  <printOptions horizontalCentered="0" verticalCentered="0"/>
  <pageMargins left="0.25" right="0.25" top="0.5" bottom="0.5" header="0.2" footer="0.2"/>
  <pageSetup orientation="landscape" fitToWidth="1" fitToHeight="0" paperSize="9"/>
</worksheet>
</file>

<file path=xl/worksheets/sheet14.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2" customWidth="1"/>
    <col min="2" max="2" width="78" customWidth="1"/>
    <col min="3" max="3" width="30" customWidth="1"/>
    <col min="4" max="4" width="44" customWidth="1"/>
  </cols>
  <sheetData>
    <row r="1" ht="24" customHeight="1">
      <c r="A1" t="inlineStr" s="3">
        <is>
          <t xml:space="preserve">Field</t>
        </is>
      </c>
      <c r="B1" t="inlineStr" s="3">
        <is>
          <t xml:space="preserve">Declared value</t>
        </is>
      </c>
      <c r="C1" t="inlineStr" s="3">
        <is>
          <t xml:space="preserve">Source / evidence</t>
        </is>
      </c>
      <c r="D1" t="inlineStr" s="3">
        <is>
          <t xml:space="preserve">Status</t>
        </is>
      </c>
    </row>
    <row r="2">
      <c r="A2" t="inlineStr" s="1">
        <is>
          <t xml:space="preserve">Legal name</t>
        </is>
      </c>
      <c r="B2" t="inlineStr" s="1">
        <is>
          <t xml:space="preserve">Verified Steel Operator A.S.</t>
        </is>
      </c>
      <c r="C2" t="inlineStr" s="1">
        <is>
          <t xml:space="preserve">11111111-1111-4111-8111-222222222222</t>
        </is>
      </c>
      <c r="D2" t="inlineStr" s="5">
        <is>
          <t xml:space="preserve">DOCUMENTED</t>
        </is>
      </c>
    </row>
    <row r="3">
      <c r="A3" t="inlineStr" s="1">
        <is>
          <t xml:space="preserve">Registration number</t>
        </is>
      </c>
      <c r="B3" t="inlineStr" s="1">
        <is>
          <t xml:space="preserve"/>
        </is>
      </c>
      <c r="C3" t="inlineStr" s="1">
        <is>
          <t xml:space="preserve"/>
        </is>
      </c>
      <c r="D3" t="inlineStr" s="7">
        <is>
          <t xml:space="preserve">GAP</t>
        </is>
      </c>
    </row>
    <row r="4">
      <c r="A4" t="inlineStr" s="1">
        <is>
          <t xml:space="preserve">Full address (English)</t>
        </is>
      </c>
      <c r="B4" t="inlineStr" s="1">
        <is>
          <t xml:space="preserve">Iskenderun, Turkiye</t>
        </is>
      </c>
      <c r="C4" t="inlineStr" s="1">
        <is>
          <t xml:space="preserve">11111111-1111-4111-8111-222222222222</t>
        </is>
      </c>
      <c r="D4" t="inlineStr" s="5">
        <is>
          <t xml:space="preserve">DOCUMENTED</t>
        </is>
      </c>
    </row>
    <row r="5">
      <c r="A5" t="inlineStr" s="1">
        <is>
          <t xml:space="preserve">Country</t>
        </is>
      </c>
      <c r="B5" t="inlineStr" s="1">
        <is>
          <t xml:space="preserve"/>
        </is>
      </c>
      <c r="C5" t="inlineStr" s="1">
        <is>
          <t xml:space="preserve"/>
        </is>
      </c>
      <c r="D5" t="inlineStr" s="7">
        <is>
          <t xml:space="preserve">GAP</t>
        </is>
      </c>
    </row>
    <row r="6">
      <c r="A6" t="inlineStr" s="1">
        <is>
          <t xml:space="preserve">Contact person</t>
        </is>
      </c>
      <c r="B6" t="inlineStr" s="1">
        <is>
          <t xml:space="preserve"/>
        </is>
      </c>
      <c r="C6" t="inlineStr" s="1">
        <is>
          <t xml:space="preserve"/>
        </is>
      </c>
      <c r="D6" t="inlineStr" s="1">
        <is>
          <t xml:space="preserve"/>
        </is>
      </c>
    </row>
    <row r="7">
      <c r="A7" t="inlineStr" s="1">
        <is>
          <t xml:space="preserve">Role / title</t>
        </is>
      </c>
      <c r="B7" t="inlineStr" s="1">
        <is>
          <t xml:space="preserve"/>
        </is>
      </c>
      <c r="C7" t="inlineStr" s="1">
        <is>
          <t xml:space="preserve"/>
        </is>
      </c>
      <c r="D7" t="inlineStr" s="1">
        <is>
          <t xml:space="preserve"/>
        </is>
      </c>
    </row>
    <row r="8">
      <c r="A8" t="inlineStr" s="1">
        <is>
          <t xml:space="preserve">Contact email</t>
        </is>
      </c>
      <c r="B8" t="inlineStr" s="1">
        <is>
          <t xml:space="preserve"/>
        </is>
      </c>
      <c r="C8" t="inlineStr" s="1">
        <is>
          <t xml:space="preserve"/>
        </is>
      </c>
      <c r="D8" t="inlineStr" s="1">
        <is>
          <t xml:space="preserve"/>
        </is>
      </c>
    </row>
    <row r="9">
      <c r="A9" t="inlineStr" s="1">
        <is>
          <t xml:space="preserve">Operator declaration</t>
        </is>
      </c>
      <c r="B9" t="inlineStr" s="1">
        <is>
          <t xml:space="preserve"/>
        </is>
      </c>
      <c r="C9" t="inlineStr" s="1">
        <is>
          <t xml:space="preserve"/>
        </is>
      </c>
      <c r="D9" t="inlineStr" s="1">
        <is>
          <t xml:space="preserve"/>
        </is>
      </c>
    </row>
    <row r="10">
      <c r="A10" t="inlineStr" s="1">
        <is>
          <t xml:space="preserve">Preparer sign-off</t>
        </is>
      </c>
      <c r="B10" t="inlineStr" s="1">
        <is>
          <t xml:space="preserve"/>
        </is>
      </c>
      <c r="C10" t="inlineStr" s="1">
        <is>
          <t xml:space="preserve"/>
        </is>
      </c>
      <c r="D10" t="inlineStr" s="1">
        <is>
          <t xml:space="preserve"/>
        </is>
      </c>
    </row>
    <row r="11">
      <c r="A11" t="inlineStr" s="1">
        <is>
          <t xml:space="preserve">Internal reviewer sign-off</t>
        </is>
      </c>
      <c r="B11" t="inlineStr" s="1">
        <is>
          <t xml:space="preserve"/>
        </is>
      </c>
      <c r="C11" t="inlineStr" s="1">
        <is>
          <t xml:space="preserve"/>
        </is>
      </c>
      <c r="D11" t="inlineStr" s="1">
        <is>
          <t xml:space="preserve"/>
        </is>
      </c>
    </row>
  </sheetData>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15.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2" customWidth="1"/>
    <col min="2" max="2" width="78" customWidth="1"/>
    <col min="3" max="3" width="30" customWidth="1"/>
    <col min="4" max="4" width="44" customWidth="1"/>
  </cols>
  <sheetData>
    <row r="1" ht="24" customHeight="1">
      <c r="A1" t="inlineStr" s="3">
        <is>
          <t xml:space="preserve">Field</t>
        </is>
      </c>
      <c r="B1" t="inlineStr" s="3">
        <is>
          <t xml:space="preserve">Declared value</t>
        </is>
      </c>
      <c r="C1" t="inlineStr" s="3">
        <is>
          <t xml:space="preserve">Source / evidence</t>
        </is>
      </c>
      <c r="D1" t="inlineStr" s="3">
        <is>
          <t xml:space="preserve">Status</t>
        </is>
      </c>
    </row>
    <row r="2">
      <c r="A2" t="inlineStr" s="1">
        <is>
          <t xml:space="preserve">Installation name</t>
        </is>
      </c>
      <c r="B2" t="inlineStr" s="1">
        <is>
          <t xml:space="preserve">Verified Integrated Steel Installation</t>
        </is>
      </c>
      <c r="C2" t="inlineStr" s="1">
        <is>
          <t xml:space="preserve">11111111-1111-4111-8111-222222222222</t>
        </is>
      </c>
      <c r="D2" t="inlineStr" s="5">
        <is>
          <t xml:space="preserve">DOCUMENTED</t>
        </is>
      </c>
    </row>
    <row r="3">
      <c r="A3" t="inlineStr" s="1">
        <is>
          <t xml:space="preserve">CBAM Registry installation ID</t>
        </is>
      </c>
      <c r="B3" t="inlineStr" s="1">
        <is>
          <t xml:space="preserve"/>
        </is>
      </c>
      <c r="C3" t="inlineStr" s="1">
        <is>
          <t xml:space="preserve"/>
        </is>
      </c>
      <c r="D3" t="inlineStr" s="7">
        <is>
          <t xml:space="preserve">GAP</t>
        </is>
      </c>
    </row>
    <row r="4">
      <c r="A4" t="inlineStr" s="1">
        <is>
          <t xml:space="preserve">UN/LOCODE</t>
        </is>
      </c>
      <c r="B4" t="inlineStr" s="1">
        <is>
          <t xml:space="preserve">TRISK</t>
        </is>
      </c>
      <c r="C4" t="inlineStr" s="1">
        <is>
          <t xml:space="preserve">11111111-1111-4111-8111-555555555555</t>
        </is>
      </c>
      <c r="D4" t="inlineStr" s="1">
        <is>
          <t xml:space="preserve"/>
        </is>
      </c>
    </row>
    <row r="5">
      <c r="A5" t="inlineStr" s="1">
        <is>
          <t xml:space="preserve">Full address (English)</t>
        </is>
      </c>
      <c r="B5" t="inlineStr" s="1">
        <is>
          <t xml:space="preserve"/>
        </is>
      </c>
      <c r="C5" t="inlineStr" s="1">
        <is>
          <t xml:space="preserve"/>
        </is>
      </c>
      <c r="D5" t="inlineStr" s="1">
        <is>
          <t xml:space="preserve"/>
        </is>
      </c>
    </row>
    <row r="6">
      <c r="A6" t="inlineStr" s="1">
        <is>
          <t xml:space="preserve">Latitude</t>
        </is>
      </c>
      <c r="B6" t="inlineStr" s="1">
        <is>
          <t xml:space="preserve"/>
        </is>
      </c>
      <c r="C6" t="inlineStr" s="1">
        <is>
          <t xml:space="preserve"/>
        </is>
      </c>
      <c r="D6" t="inlineStr" s="1">
        <is>
          <t xml:space="preserve"/>
        </is>
      </c>
    </row>
    <row r="7">
      <c r="A7" t="inlineStr" s="1">
        <is>
          <t xml:space="preserve">Longitude</t>
        </is>
      </c>
      <c r="B7" t="inlineStr" s="1">
        <is>
          <t xml:space="preserve"/>
        </is>
      </c>
      <c r="C7" t="inlineStr" s="1">
        <is>
          <t xml:space="preserve"/>
        </is>
      </c>
      <c r="D7" t="inlineStr" s="1">
        <is>
          <t xml:space="preserve"/>
        </is>
      </c>
    </row>
    <row r="8">
      <c r="A8" t="inlineStr" s="1">
        <is>
          <t xml:space="preserve">Country</t>
        </is>
      </c>
      <c r="B8" t="inlineStr" s="1">
        <is>
          <t xml:space="preserve">TR</t>
        </is>
      </c>
      <c r="C8" t="inlineStr" s="1">
        <is>
          <t xml:space="preserve">11111111-1111-4111-8111-222222222222</t>
        </is>
      </c>
      <c r="D8" t="inlineStr" s="5">
        <is>
          <t xml:space="preserve">DOCUMENTED</t>
        </is>
      </c>
    </row>
    <row r="9">
      <c r="A9" t="inlineStr" s="1">
        <is>
          <t xml:space="preserve">Production route</t>
        </is>
      </c>
      <c r="B9" t="inlineStr" s="1">
        <is>
          <t xml:space="preserve">Blast Furnace Route (BF-BOF)</t>
        </is>
      </c>
      <c r="C9" t="inlineStr" s="1">
        <is>
          <t xml:space="preserve">11111111-1111-4111-8111-222222222222</t>
        </is>
      </c>
      <c r="D9" t="inlineStr" s="5">
        <is>
          <t xml:space="preserve">DOCUMENTED</t>
        </is>
      </c>
    </row>
    <row r="10">
      <c r="A10" t="inlineStr" s="1">
        <is>
          <t xml:space="preserve">System boundary</t>
        </is>
      </c>
      <c r="B10" t="inlineStr" s="1">
        <is>
          <t xml:space="preserve">Coke preparation, sinter plant, blast furnace, basic oxygen furnace, casting and finishing operations within the controlled installation boundary.</t>
        </is>
      </c>
      <c r="C10" t="inlineStr" s="1">
        <is>
          <t xml:space="preserve"/>
        </is>
      </c>
      <c r="D10" t="inlineStr" s="5">
        <is>
          <t xml:space="preserve">DOCUMENTED</t>
        </is>
      </c>
    </row>
    <row r="11">
      <c r="A11" t="inlineStr" s="1">
        <is>
          <t xml:space="preserve">Excluded processes</t>
        </is>
      </c>
      <c r="B11" t="inlineStr" s="1">
        <is>
          <t xml:space="preserve"/>
        </is>
      </c>
      <c r="C11" t="inlineStr" s="1">
        <is>
          <t xml:space="preserve"/>
        </is>
      </c>
      <c r="D11" t="inlineStr" s="1">
        <is>
          <t xml:space="preserve"/>
        </is>
      </c>
    </row>
    <row r="12">
      <c r="A12" t="inlineStr" s="1">
        <is>
          <t xml:space="preserve">Functional units</t>
        </is>
      </c>
      <c r="B12" t="inlineStr" s="1">
        <is>
          <t xml:space="preserve"/>
        </is>
      </c>
      <c r="C12" t="inlineStr" s="1">
        <is>
          <t xml:space="preserve"/>
        </is>
      </c>
      <c r="D12" t="inlineStr" s="1">
        <is>
          <t xml:space="preserve"/>
        </is>
      </c>
    </row>
    <row r="13">
      <c r="A13" t="inlineStr" s="1">
        <is>
          <t xml:space="preserve">Installation diagram evidence</t>
        </is>
      </c>
      <c r="B13" t="inlineStr" s="1">
        <is>
          <t xml:space="preserve"/>
        </is>
      </c>
      <c r="C13" t="inlineStr" s="1">
        <is>
          <t xml:space="preserve"/>
        </is>
      </c>
      <c r="D13" t="inlineStr" s="1">
        <is>
          <t xml:space="preserve"/>
        </is>
      </c>
    </row>
    <row r="14">
      <c r="A14" t="inlineStr" s="1">
        <is>
          <t xml:space="preserve">Monitoring plan ID</t>
        </is>
      </c>
      <c r="B14" t="inlineStr" s="1">
        <is>
          <t xml:space="preserve"/>
        </is>
      </c>
      <c r="C14" t="inlineStr" s="1">
        <is>
          <t xml:space="preserve"/>
        </is>
      </c>
      <c r="D14" t="inlineStr" s="1">
        <is>
          <t xml:space="preserve"/>
        </is>
      </c>
    </row>
    <row r="15">
      <c r="A15" t="inlineStr" s="1">
        <is>
          <t xml:space="preserve">Monitoring plan version</t>
        </is>
      </c>
      <c r="B15" t="inlineStr" s="1">
        <is>
          <t xml:space="preserve"/>
        </is>
      </c>
      <c r="C15" t="inlineStr" s="1">
        <is>
          <t xml:space="preserve"/>
        </is>
      </c>
      <c r="D15" t="inlineStr" s="1">
        <is>
          <t xml:space="preserve"/>
        </is>
      </c>
    </row>
    <row r="16">
      <c r="A16" t="inlineStr" s="1">
        <is>
          <t xml:space="preserve">Monitoring plan effective date</t>
        </is>
      </c>
      <c r="B16" t="inlineStr" s="1">
        <is>
          <t xml:space="preserve"/>
        </is>
      </c>
      <c r="C16" t="inlineStr" s="1">
        <is>
          <t xml:space="preserve"/>
        </is>
      </c>
      <c r="D16" t="inlineStr" s="1">
        <is>
          <t xml:space="preserve"/>
        </is>
      </c>
    </row>
  </sheetData>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16.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0" customWidth="1"/>
    <col min="2" max="2" width="22" customWidth="1"/>
    <col min="3" max="3" width="20" customWidth="1"/>
    <col min="4" max="4" width="22" customWidth="1"/>
    <col min="5" max="5" width="40" customWidth="1"/>
    <col min="6" max="6" width="34" customWidth="1"/>
  </cols>
  <sheetData>
    <row r="1" ht="24" customHeight="1">
      <c r="A1" t="inlineStr" s="3">
        <is>
          <t xml:space="preserve">Source stream</t>
        </is>
      </c>
      <c r="B1" t="inlineStr" s="3">
        <is>
          <t xml:space="preserve">Activity value</t>
        </is>
      </c>
      <c r="C1" t="inlineStr" s="3">
        <is>
          <t xml:space="preserve">Unit</t>
        </is>
      </c>
      <c r="D1" t="inlineStr" s="3">
        <is>
          <t xml:space="preserve">Data source</t>
        </is>
      </c>
      <c r="E1" t="inlineStr" s="3">
        <is>
          <t xml:space="preserve">Evidence ID</t>
        </is>
      </c>
      <c r="F1" t="inlineStr" s="3">
        <is>
          <t xml:space="preserve">Measurement method</t>
        </is>
      </c>
    </row>
    <row r="2">
      <c r="A2" t="inlineStr" s="1">
        <is>
          <t xml:space="preserve">Direct emissions (installation scope)</t>
        </is>
      </c>
      <c r="B2" t="inlineStr" s="1">
        <is>
          <t xml:space="preserve">80</t>
        </is>
      </c>
      <c r="C2" t="inlineStr" s="1">
        <is>
          <t xml:space="preserve">tCO2e</t>
        </is>
      </c>
      <c r="D2" t="inlineStr" s="1">
        <is>
          <t xml:space="preserve">PRIMARY</t>
        </is>
      </c>
      <c r="E2" t="inlineStr" s="1">
        <is>
          <t xml:space="preserve">11111111-1111-4111-8111-555555555555</t>
        </is>
      </c>
      <c r="F2" t="inlineStr" s="1">
        <is>
          <t xml:space="preserve">Documented direct measurement and reconciled production ledger</t>
        </is>
      </c>
    </row>
    <row r="3">
      <c r="A3" t="inlineStr" s="1">
        <is>
          <t xml:space="preserve">Electricity consumed</t>
        </is>
      </c>
      <c r="B3" t="inlineStr" s="1">
        <is>
          <t xml:space="preserve">100</t>
        </is>
      </c>
      <c r="C3" t="inlineStr" s="1">
        <is>
          <t xml:space="preserve">MWh</t>
        </is>
      </c>
      <c r="D3" t="inlineStr" s="1">
        <is>
          <t xml:space="preserve">PRIMARY</t>
        </is>
      </c>
      <c r="E3" t="inlineStr" s="1">
        <is>
          <t xml:space="preserve">11111111-1111-4111-8111-333333333333</t>
        </is>
      </c>
      <c r="F3" t="inlineStr" s="1">
        <is>
          <t xml:space="preserve">Documented direct measurement and reconciled production ledger</t>
        </is>
      </c>
    </row>
    <row r="4">
      <c r="A4" t="inlineStr" s="1">
        <is>
          <t xml:space="preserve">Grid emission factor</t>
        </is>
      </c>
      <c r="B4" t="inlineStr" s="1">
        <is>
          <t xml:space="preserve">0.4</t>
        </is>
      </c>
      <c r="C4" t="inlineStr" s="1">
        <is>
          <t xml:space="preserve">tCO2e/MWh</t>
        </is>
      </c>
      <c r="D4" t="inlineStr" s="1">
        <is>
          <t xml:space="preserve">PRIMARY</t>
        </is>
      </c>
      <c r="E4" t="inlineStr" s="1">
        <is>
          <t xml:space="preserve">11111111-1111-4111-8111-333333333333</t>
        </is>
      </c>
      <c r="F4" t="inlineStr" s="1">
        <is>
          <t xml:space="preserve">Documented direct measurement and reconciled production ledger</t>
        </is>
      </c>
    </row>
  </sheetData>
  <autoFilter ref="A1:F4"/>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17.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6" customWidth="1"/>
    <col min="2" max="2" width="22" customWidth="1"/>
    <col min="3" max="3" width="20" customWidth="1"/>
    <col min="4" max="4" width="22" customWidth="1"/>
    <col min="5" max="5" width="40" customWidth="1"/>
    <col min="6" max="6" width="34" customWidth="1"/>
  </cols>
  <sheetData>
    <row r="1" ht="24" customHeight="1">
      <c r="A1" t="inlineStr" s="3">
        <is>
          <t xml:space="preserve">Emission source</t>
        </is>
      </c>
      <c r="B1" t="inlineStr" s="3">
        <is>
          <t xml:space="preserve">Activity value</t>
        </is>
      </c>
      <c r="C1" t="inlineStr" s="3">
        <is>
          <t xml:space="preserve">Unit</t>
        </is>
      </c>
      <c r="D1" t="inlineStr" s="3">
        <is>
          <t xml:space="preserve">Data source</t>
        </is>
      </c>
      <c r="E1" t="inlineStr" s="3">
        <is>
          <t xml:space="preserve">Evidence ID</t>
        </is>
      </c>
      <c r="F1" t="inlineStr" s="3">
        <is>
          <t xml:space="preserve">Measurement method</t>
        </is>
      </c>
    </row>
    <row r="2">
      <c r="A2" t="inlineStr" s="1">
        <is>
          <t xml:space="preserve">Installation direct emissions scope</t>
        </is>
      </c>
      <c r="B2" t="inlineStr" s="1">
        <is>
          <t xml:space="preserve">80</t>
        </is>
      </c>
      <c r="C2" t="inlineStr" s="1">
        <is>
          <t xml:space="preserve">tCO2e</t>
        </is>
      </c>
      <c r="D2" t="inlineStr" s="1">
        <is>
          <t xml:space="preserve">PRIMARY</t>
        </is>
      </c>
      <c r="E2" t="inlineStr" s="1">
        <is>
          <t xml:space="preserve">11111111-1111-4111-8111-555555555555</t>
        </is>
      </c>
      <c r="F2" t="inlineStr" s="1">
        <is>
          <t xml:space="preserve">Documented direct measurement and reconciled production ledger</t>
        </is>
      </c>
    </row>
    <row r="3">
      <c r="A3" t="inlineStr" s="1">
        <is>
          <t xml:space="preserve">Electricity consumption (indirect)</t>
        </is>
      </c>
      <c r="B3" t="inlineStr" s="1">
        <is>
          <t xml:space="preserve">100</t>
        </is>
      </c>
      <c r="C3" t="inlineStr" s="1">
        <is>
          <t xml:space="preserve">MWh</t>
        </is>
      </c>
      <c r="D3" t="inlineStr" s="1">
        <is>
          <t xml:space="preserve">PRIMARY</t>
        </is>
      </c>
      <c r="E3" t="inlineStr" s="1">
        <is>
          <t xml:space="preserve">11111111-1111-4111-8111-333333333333</t>
        </is>
      </c>
      <c r="F3" t="inlineStr" s="1">
        <is>
          <t xml:space="preserve">Documented direct measurement and reconciled production ledger</t>
        </is>
      </c>
    </row>
    <row r="4">
      <c r="A4" t="inlineStr" s="1">
        <is>
          <t xml:space="preserve">Precursor embedded emissions</t>
        </is>
      </c>
      <c r="B4" t="inlineStr" s="1">
        <is>
          <t xml:space="preserve">NONE DECLARED</t>
        </is>
      </c>
      <c r="C4" t="inlineStr" s="1">
        <is>
          <t xml:space="preserve">tCO2e</t>
        </is>
      </c>
      <c r="D4" t="inlineStr" s="1">
        <is>
          <t xml:space="preserve">Register</t>
        </is>
      </c>
      <c r="E4" t="inlineStr" s="1">
        <is>
          <t xml:space="preserve"/>
        </is>
      </c>
      <c r="F4" t="inlineStr" s="1">
        <is>
          <t xml:space="preserve"/>
        </is>
      </c>
    </row>
  </sheetData>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18.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38" customWidth="1"/>
    <col min="2" max="2" width="44" customWidth="1"/>
    <col min="3" max="3" width="30" customWidth="1"/>
    <col min="4" max="4" width="20" customWidth="1"/>
    <col min="5" max="5" width="18" customWidth="1"/>
    <col min="6" max="6" width="16" customWidth="1"/>
    <col min="7" max="7" width="48" customWidth="1"/>
  </cols>
  <sheetData>
    <row r="1" ht="24" customHeight="1">
      <c r="A1" t="inlineStr" s="3">
        <is>
          <t xml:space="preserve">Evidence ID</t>
        </is>
      </c>
      <c r="B1" t="inlineStr" s="3">
        <is>
          <t xml:space="preserve">Document</t>
        </is>
      </c>
      <c r="C1" t="inlineStr" s="3">
        <is>
          <t xml:space="preserve">Meter scope</t>
        </is>
      </c>
      <c r="D1" t="inlineStr" s="3">
        <is>
          <t xml:space="preserve">Approved</t>
        </is>
      </c>
      <c r="E1" t="inlineStr" s="3">
        <is>
          <t xml:space="preserve">Malware</t>
        </is>
      </c>
      <c r="F1" t="inlineStr" s="3">
        <is>
          <t xml:space="preserve">Bytes</t>
        </is>
      </c>
      <c r="G1" t="inlineStr" s="3">
        <is>
          <t xml:space="preserve">SHA-256</t>
        </is>
      </c>
    </row>
    <row r="2">
      <c r="A2" t="inlineStr" s="1">
        <is>
          <t xml:space="preserve">11111111-1111-4111-8111-222222222222</t>
        </is>
      </c>
      <c r="B2" t="inlineStr" s="1">
        <is>
          <t xml:space="preserve">customs-declaration-classification.pdf</t>
        </is>
      </c>
      <c r="C2" t="inlineStr" s="1">
        <is>
          <t xml:space="preserve">importerIdentity.eoriNumber</t>
        </is>
      </c>
      <c r="D2" t="inlineStr" s="1">
        <is>
          <t xml:space="preserve">APPROVED</t>
        </is>
      </c>
      <c r="E2" t="inlineStr" s="1">
        <is>
          <t xml:space="preserve">CLEAN</t>
        </is>
      </c>
      <c r="F2" s="8">
        <v>92</v>
      </c>
      <c r="G2" t="inlineStr" s="1">
        <is>
          <t xml:space="preserve">131f55d58925bbb1</t>
        </is>
      </c>
    </row>
    <row r="3">
      <c r="A3" t="inlineStr" s="1">
        <is>
          <t xml:space="preserve">11111111-1111-4111-8111-333333333333</t>
        </is>
      </c>
      <c r="B3" t="inlineStr" s="1">
        <is>
          <t xml:space="preserve">electricity-utility-invoice.pdf</t>
        </is>
      </c>
      <c r="C3" t="inlineStr" s="1">
        <is>
          <t xml:space="preserve">electricityConsumed</t>
        </is>
      </c>
      <c r="D3" t="inlineStr" s="1">
        <is>
          <t xml:space="preserve">APPROVED</t>
        </is>
      </c>
      <c r="E3" t="inlineStr" s="1">
        <is>
          <t xml:space="preserve">CLEAN</t>
        </is>
      </c>
      <c r="F3" s="8">
        <v>106</v>
      </c>
      <c r="G3" t="inlineStr" s="1">
        <is>
          <t xml:space="preserve">7e9c3cdb25683a0e</t>
        </is>
      </c>
    </row>
    <row r="4">
      <c r="A4" t="inlineStr" s="1">
        <is>
          <t xml:space="preserve">11111111-1111-4111-8111-444444444444</t>
        </is>
      </c>
      <c r="B4" t="inlineStr" s="1">
        <is>
          <t xml:space="preserve">production-reconciliation-ledger.pdf</t>
        </is>
      </c>
      <c r="C4" t="inlineStr" s="1">
        <is>
          <t xml:space="preserve">goods.0.productionVolume</t>
        </is>
      </c>
      <c r="D4" t="inlineStr" s="1">
        <is>
          <t xml:space="preserve">APPROVED</t>
        </is>
      </c>
      <c r="E4" t="inlineStr" s="1">
        <is>
          <t xml:space="preserve">CLEAN</t>
        </is>
      </c>
      <c r="F4" s="8">
        <v>89</v>
      </c>
      <c r="G4" t="inlineStr" s="1">
        <is>
          <t xml:space="preserve">c5ecc502ccc8d7ac</t>
        </is>
      </c>
    </row>
    <row r="5">
      <c r="A5" t="inlineStr" s="1">
        <is>
          <t xml:space="preserve">11111111-1111-4111-8111-555555555555</t>
        </is>
      </c>
      <c r="B5" t="inlineStr" s="1">
        <is>
          <t xml:space="preserve">verified-monitoring-package.pdf</t>
        </is>
      </c>
      <c r="C5" t="inlineStr" s="1">
        <is>
          <t xml:space="preserve">directEmissions</t>
        </is>
      </c>
      <c r="D5" t="inlineStr" s="1">
        <is>
          <t xml:space="preserve">APPROVED</t>
        </is>
      </c>
      <c r="E5" t="inlineStr" s="1">
        <is>
          <t xml:space="preserve">CLEAN</t>
        </is>
      </c>
      <c r="F5" s="8">
        <v>135</v>
      </c>
      <c r="G5" t="inlineStr" s="1">
        <is>
          <t xml:space="preserve">52f88d25d5eba431</t>
        </is>
      </c>
    </row>
    <row r="6">
      <c r="A6" t="inlineStr" s="1">
        <is>
          <t xml:space="preserve">11111111-1111-4111-8111-666666666666</t>
        </is>
      </c>
      <c r="B6" t="inlineStr" s="1">
        <is>
          <t xml:space="preserve">meter-calibration-certificate.pdf</t>
        </is>
      </c>
      <c r="C6" t="inlineStr" s="1">
        <is>
          <t xml:space="preserve">directEmissions</t>
        </is>
      </c>
      <c r="D6" t="inlineStr" s="1">
        <is>
          <t xml:space="preserve">APPROVED</t>
        </is>
      </c>
      <c r="E6" t="inlineStr" s="1">
        <is>
          <t xml:space="preserve">CLEAN</t>
        </is>
      </c>
      <c r="F6" s="8">
        <v>107</v>
      </c>
      <c r="G6" t="inlineStr" s="1">
        <is>
          <t xml:space="preserve">8adfa9f9eb2d649a</t>
        </is>
      </c>
    </row>
  </sheetData>
  <autoFilter ref="A1:G6"/>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19.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10" customWidth="1"/>
    <col min="2" max="2" width="16" customWidth="1"/>
    <col min="3" max="3" width="24" customWidth="1"/>
    <col min="4" max="4" width="18" customWidth="1"/>
    <col min="5" max="5" width="24" customWidth="1"/>
    <col min="6" max="6" width="24" customWidth="1"/>
    <col min="7" max="7" width="40" customWidth="1"/>
  </cols>
  <sheetData>
    <row r="1" ht="24" customHeight="1">
      <c r="A1" t="inlineStr" s="3">
        <is>
          <t xml:space="preserve">Good</t>
        </is>
      </c>
      <c r="B1" t="inlineStr" s="3">
        <is>
          <t xml:space="preserve">CN code</t>
        </is>
      </c>
      <c r="C1" t="inlineStr" s="3">
        <is>
          <t xml:space="preserve">Sector</t>
        </is>
      </c>
      <c r="D1" t="inlineStr" s="3">
        <is>
          <t xml:space="preserve">Share</t>
        </is>
      </c>
      <c r="E1" t="inlineStr" s="3">
        <is>
          <t xml:space="preserve">Allocated tCO2e</t>
        </is>
      </c>
      <c r="F1" t="inlineStr" s="3">
        <is>
          <t xml:space="preserve">Specific tCO2e/t</t>
        </is>
      </c>
      <c r="G1" t="inlineStr" s="3">
        <is>
          <t xml:space="preserve">Reconciliation</t>
        </is>
      </c>
    </row>
    <row r="2">
      <c r="A2" s="8">
        <v>1</v>
      </c>
      <c r="B2" t="inlineStr" s="1">
        <is>
          <t xml:space="preserve">72011011</t>
        </is>
      </c>
      <c r="C2" t="inlineStr" s="1">
        <is>
          <t xml:space="preserve">IRON_AND_STEEL</t>
        </is>
      </c>
      <c r="D2" s="8">
        <v>0.6</v>
      </c>
      <c r="E2" s="8">
        <v>48</v>
      </c>
      <c r="F2" s="8">
        <v>0.8</v>
      </c>
      <c r="G2" t="inlineStr" s="5">
        <is>
          <t xml:space="preserve">PART_OF_SUM</t>
        </is>
      </c>
    </row>
    <row r="3">
      <c r="A3" s="8">
        <v>2</v>
      </c>
      <c r="B3" t="inlineStr" s="1">
        <is>
          <t xml:space="preserve">72011019</t>
        </is>
      </c>
      <c r="C3" t="inlineStr" s="1">
        <is>
          <t xml:space="preserve">IRON_AND_STEEL</t>
        </is>
      </c>
      <c r="D3" s="8">
        <v>0.4</v>
      </c>
      <c r="E3" s="8">
        <v>32</v>
      </c>
      <c r="F3" s="8">
        <v>0.8</v>
      </c>
      <c r="G3" t="inlineStr" s="5">
        <is>
          <t xml:space="preserve">PART_OF_SUM</t>
        </is>
      </c>
    </row>
    <row r="4">
      <c r="A4" t="inlineStr" s="4">
        <is>
          <t xml:space="preserve">Total</t>
        </is>
      </c>
      <c r="B4" t="inlineStr" s="1">
        <is>
          <t xml:space="preserve"/>
        </is>
      </c>
      <c r="C4" t="inlineStr" s="1">
        <is>
          <t xml:space="preserve"/>
        </is>
      </c>
      <c r="D4" s="11">
        <f>SUM(D2:D3)</f>
        <v>1</v>
      </c>
      <c r="E4" s="11">
        <f>SUM(E2:E3)</f>
        <v>80</v>
      </c>
      <c r="F4" t="inlineStr" s="1">
        <is>
          <t xml:space="preserve"/>
        </is>
      </c>
      <c r="G4" t="inlineStr" s="5">
        <is>
          <t xml:space="preserve">RECONCILED</t>
        </is>
      </c>
    </row>
    <row r="5">
      <c r="A5" t="inlineStr" s="4">
        <is>
          <t xml:space="preserve">Reconciliation delta</t>
        </is>
      </c>
      <c r="B5" t="inlineStr" s="1">
        <is>
          <t xml:space="preserve"/>
        </is>
      </c>
      <c r="C5" t="inlineStr" s="1">
        <is>
          <t xml:space="preserve"/>
        </is>
      </c>
      <c r="D5" t="inlineStr" s="1">
        <is>
          <t xml:space="preserve"/>
        </is>
      </c>
      <c r="E5" s="8">
        <v>0</v>
      </c>
      <c r="F5" t="inlineStr" s="1">
        <is>
          <t xml:space="preserve"/>
        </is>
      </c>
      <c r="G5" t="inlineStr" s="5">
        <is>
          <t xml:space="preserve">ZERO_DELTA_PASS</t>
        </is>
      </c>
    </row>
  </sheetData>
  <autoFilter ref="A1:G5"/>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20.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38" customWidth="1"/>
    <col min="2" max="2" width="48" customWidth="1"/>
    <col min="3" max="3" width="68" customWidth="1"/>
    <col min="4" max="4" width="18" customWidth="1"/>
    <col min="5" max="5" width="20" customWidth="1"/>
  </cols>
  <sheetData>
    <row r="1" ht="24" customHeight="1">
      <c r="A1" t="inlineStr" s="3">
        <is>
          <t xml:space="preserve">Evidence ID</t>
        </is>
      </c>
      <c r="B1" t="inlineStr" s="3">
        <is>
          <t xml:space="preserve">Linked input field</t>
        </is>
      </c>
      <c r="C1" t="inlineStr" s="3">
        <is>
          <t xml:space="preserve">SHA-256</t>
        </is>
      </c>
      <c r="D1" t="inlineStr" s="3">
        <is>
          <t xml:space="preserve">Review</t>
        </is>
      </c>
      <c r="E1" t="inlineStr" s="3">
        <is>
          <t xml:space="preserve">Support</t>
        </is>
      </c>
    </row>
    <row r="2">
      <c r="A2" t="inlineStr" s="1">
        <is>
          <t xml:space="preserve">11111111-1111-4111-8111-222222222222</t>
        </is>
      </c>
      <c r="B2" t="inlineStr" s="1">
        <is>
          <t xml:space="preserve">importerIdentity.eoriNumber</t>
        </is>
      </c>
      <c r="C2" t="inlineStr" s="1">
        <is>
          <t xml:space="preserve">131f55d58925bbb16c2b5fc319042056ebcb0e5d192f642740fb7a0fa246bc7c</t>
        </is>
      </c>
      <c r="D2" t="inlineStr" s="1">
        <is>
          <t xml:space="preserve">APPROVED</t>
        </is>
      </c>
      <c r="E2" t="inlineStr" s="1">
        <is>
          <t xml:space="preserve">SUPPORTED</t>
        </is>
      </c>
    </row>
    <row r="3">
      <c r="A3" t="inlineStr" s="1">
        <is>
          <t xml:space="preserve">11111111-1111-4111-8111-222222222222</t>
        </is>
      </c>
      <c r="B3" t="inlineStr" s="1">
        <is>
          <t xml:space="preserve">goods.0.cnCode</t>
        </is>
      </c>
      <c r="C3" t="inlineStr" s="1">
        <is>
          <t xml:space="preserve">131f55d58925bbb16c2b5fc319042056ebcb0e5d192f642740fb7a0fa246bc7c</t>
        </is>
      </c>
      <c r="D3" t="inlineStr" s="1">
        <is>
          <t xml:space="preserve">APPROVED</t>
        </is>
      </c>
      <c r="E3" t="inlineStr" s="1">
        <is>
          <t xml:space="preserve">SUPPORTED</t>
        </is>
      </c>
    </row>
    <row r="4">
      <c r="A4" t="inlineStr" s="1">
        <is>
          <t xml:space="preserve">11111111-1111-4111-8111-222222222222</t>
        </is>
      </c>
      <c r="B4" t="inlineStr" s="1">
        <is>
          <t xml:space="preserve">goods.1.cnCode</t>
        </is>
      </c>
      <c r="C4" t="inlineStr" s="1">
        <is>
          <t xml:space="preserve">131f55d58925bbb16c2b5fc319042056ebcb0e5d192f642740fb7a0fa246bc7c</t>
        </is>
      </c>
      <c r="D4" t="inlineStr" s="1">
        <is>
          <t xml:space="preserve">APPROVED</t>
        </is>
      </c>
      <c r="E4" t="inlineStr" s="1">
        <is>
          <t xml:space="preserve">SUPPORTED</t>
        </is>
      </c>
    </row>
    <row r="5">
      <c r="A5" t="inlineStr" s="1">
        <is>
          <t xml:space="preserve">11111111-1111-4111-8111-222222222222</t>
        </is>
      </c>
      <c r="B5" t="inlineStr" s="1">
        <is>
          <t xml:space="preserve">exporterIdentity.legalName</t>
        </is>
      </c>
      <c r="C5" t="inlineStr" s="1">
        <is>
          <t xml:space="preserve">131f55d58925bbb16c2b5fc319042056ebcb0e5d192f642740fb7a0fa246bc7c</t>
        </is>
      </c>
      <c r="D5" t="inlineStr" s="1">
        <is>
          <t xml:space="preserve">APPROVED</t>
        </is>
      </c>
      <c r="E5" t="inlineStr" s="1">
        <is>
          <t xml:space="preserve">SUPPORTED</t>
        </is>
      </c>
    </row>
    <row r="6">
      <c r="A6" t="inlineStr" s="1">
        <is>
          <t xml:space="preserve">11111111-1111-4111-8111-222222222222</t>
        </is>
      </c>
      <c r="B6" t="inlineStr" s="1">
        <is>
          <t xml:space="preserve">exporterIdentity.address</t>
        </is>
      </c>
      <c r="C6" t="inlineStr" s="1">
        <is>
          <t xml:space="preserve">131f55d58925bbb16c2b5fc319042056ebcb0e5d192f642740fb7a0fa246bc7c</t>
        </is>
      </c>
      <c r="D6" t="inlineStr" s="1">
        <is>
          <t xml:space="preserve">APPROVED</t>
        </is>
      </c>
      <c r="E6" t="inlineStr" s="1">
        <is>
          <t xml:space="preserve">SUPPORTED</t>
        </is>
      </c>
    </row>
    <row r="7">
      <c r="A7" t="inlineStr" s="1">
        <is>
          <t xml:space="preserve">11111111-1111-4111-8111-222222222222</t>
        </is>
      </c>
      <c r="B7" t="inlineStr" s="1">
        <is>
          <t xml:space="preserve">importerIdentity.legalName</t>
        </is>
      </c>
      <c r="C7" t="inlineStr" s="1">
        <is>
          <t xml:space="preserve">131f55d58925bbb16c2b5fc319042056ebcb0e5d192f642740fb7a0fa246bc7c</t>
        </is>
      </c>
      <c r="D7" t="inlineStr" s="1">
        <is>
          <t xml:space="preserve">APPROVED</t>
        </is>
      </c>
      <c r="E7" t="inlineStr" s="1">
        <is>
          <t xml:space="preserve">SUPPORTED</t>
        </is>
      </c>
    </row>
    <row r="8">
      <c r="A8" t="inlineStr" s="1">
        <is>
          <t xml:space="preserve">11111111-1111-4111-8111-222222222222</t>
        </is>
      </c>
      <c r="B8" t="inlineStr" s="1">
        <is>
          <t xml:space="preserve">importerIdentity.eoriNumber</t>
        </is>
      </c>
      <c r="C8" t="inlineStr" s="1">
        <is>
          <t xml:space="preserve">131f55d58925bbb16c2b5fc319042056ebcb0e5d192f642740fb7a0fa246bc7c</t>
        </is>
      </c>
      <c r="D8" t="inlineStr" s="1">
        <is>
          <t xml:space="preserve">APPROVED</t>
        </is>
      </c>
      <c r="E8" t="inlineStr" s="1">
        <is>
          <t xml:space="preserve">SUPPORTED</t>
        </is>
      </c>
    </row>
    <row r="9">
      <c r="A9" t="inlineStr" s="1">
        <is>
          <t xml:space="preserve">11111111-1111-4111-8111-222222222222</t>
        </is>
      </c>
      <c r="B9" t="inlineStr" s="1">
        <is>
          <t xml:space="preserve">installation.name</t>
        </is>
      </c>
      <c r="C9" t="inlineStr" s="1">
        <is>
          <t xml:space="preserve">131f55d58925bbb16c2b5fc319042056ebcb0e5d192f642740fb7a0fa246bc7c</t>
        </is>
      </c>
      <c r="D9" t="inlineStr" s="1">
        <is>
          <t xml:space="preserve">APPROVED</t>
        </is>
      </c>
      <c r="E9" t="inlineStr" s="1">
        <is>
          <t xml:space="preserve">SUPPORTED</t>
        </is>
      </c>
    </row>
    <row r="10">
      <c r="A10" t="inlineStr" s="1">
        <is>
          <t xml:space="preserve">11111111-1111-4111-8111-222222222222</t>
        </is>
      </c>
      <c r="B10" t="inlineStr" s="1">
        <is>
          <t xml:space="preserve">installation.country</t>
        </is>
      </c>
      <c r="C10" t="inlineStr" s="1">
        <is>
          <t xml:space="preserve">131f55d58925bbb16c2b5fc319042056ebcb0e5d192f642740fb7a0fa246bc7c</t>
        </is>
      </c>
      <c r="D10" t="inlineStr" s="1">
        <is>
          <t xml:space="preserve">APPROVED</t>
        </is>
      </c>
      <c r="E10" t="inlineStr" s="1">
        <is>
          <t xml:space="preserve">SUPPORTED</t>
        </is>
      </c>
    </row>
    <row r="11">
      <c r="A11" t="inlineStr" s="1">
        <is>
          <t xml:space="preserve">11111111-1111-4111-8111-222222222222</t>
        </is>
      </c>
      <c r="B11" t="inlineStr" s="1">
        <is>
          <t xml:space="preserve">installation.productionRoute</t>
        </is>
      </c>
      <c r="C11" t="inlineStr" s="1">
        <is>
          <t xml:space="preserve">131f55d58925bbb16c2b5fc319042056ebcb0e5d192f642740fb7a0fa246bc7c</t>
        </is>
      </c>
      <c r="D11" t="inlineStr" s="1">
        <is>
          <t xml:space="preserve">APPROVED</t>
        </is>
      </c>
      <c r="E11" t="inlineStr" s="1">
        <is>
          <t xml:space="preserve">SUPPORTED</t>
        </is>
      </c>
    </row>
    <row r="12">
      <c r="A12" t="inlineStr" s="1">
        <is>
          <t xml:space="preserve">11111111-1111-4111-8111-222222222222</t>
        </is>
      </c>
      <c r="B12" t="inlineStr" s="1">
        <is>
          <t xml:space="preserve">reportingPeriod.year</t>
        </is>
      </c>
      <c r="C12" t="inlineStr" s="1">
        <is>
          <t xml:space="preserve">131f55d58925bbb16c2b5fc319042056ebcb0e5d192f642740fb7a0fa246bc7c</t>
        </is>
      </c>
      <c r="D12" t="inlineStr" s="1">
        <is>
          <t xml:space="preserve">APPROVED</t>
        </is>
      </c>
      <c r="E12" t="inlineStr" s="1">
        <is>
          <t xml:space="preserve">SUPPORTED</t>
        </is>
      </c>
    </row>
    <row r="13">
      <c r="A13" t="inlineStr" s="1">
        <is>
          <t xml:space="preserve">11111111-1111-4111-8111-222222222222</t>
        </is>
      </c>
      <c r="B13" t="inlineStr" s="1">
        <is>
          <t xml:space="preserve">reportingPeriod.quarter</t>
        </is>
      </c>
      <c r="C13" t="inlineStr" s="1">
        <is>
          <t xml:space="preserve">131f55d58925bbb16c2b5fc319042056ebcb0e5d192f642740fb7a0fa246bc7c</t>
        </is>
      </c>
      <c r="D13" t="inlineStr" s="1">
        <is>
          <t xml:space="preserve">APPROVED</t>
        </is>
      </c>
      <c r="E13" t="inlineStr" s="1">
        <is>
          <t xml:space="preserve">SUPPORTED</t>
        </is>
      </c>
    </row>
    <row r="14">
      <c r="A14" t="inlineStr" s="1">
        <is>
          <t xml:space="preserve">11111111-1111-4111-8111-222222222222</t>
        </is>
      </c>
      <c r="B14" t="inlineStr" s="1">
        <is>
          <t xml:space="preserve">goods.0.cnCode</t>
        </is>
      </c>
      <c r="C14" t="inlineStr" s="1">
        <is>
          <t xml:space="preserve">131f55d58925bbb16c2b5fc319042056ebcb0e5d192f642740fb7a0fa246bc7c</t>
        </is>
      </c>
      <c r="D14" t="inlineStr" s="1">
        <is>
          <t xml:space="preserve">APPROVED</t>
        </is>
      </c>
      <c r="E14" t="inlineStr" s="1">
        <is>
          <t xml:space="preserve">SUPPORTED</t>
        </is>
      </c>
    </row>
    <row r="15">
      <c r="A15" t="inlineStr" s="1">
        <is>
          <t xml:space="preserve">11111111-1111-4111-8111-222222222222</t>
        </is>
      </c>
      <c r="B15" t="inlineStr" s="1">
        <is>
          <t xml:space="preserve">goods.0.allocationShare</t>
        </is>
      </c>
      <c r="C15" t="inlineStr" s="1">
        <is>
          <t xml:space="preserve">131f55d58925bbb16c2b5fc319042056ebcb0e5d192f642740fb7a0fa246bc7c</t>
        </is>
      </c>
      <c r="D15" t="inlineStr" s="1">
        <is>
          <t xml:space="preserve">APPROVED</t>
        </is>
      </c>
      <c r="E15" t="inlineStr" s="1">
        <is>
          <t xml:space="preserve">SUPPORTED</t>
        </is>
      </c>
    </row>
    <row r="16">
      <c r="A16" t="inlineStr" s="1">
        <is>
          <t xml:space="preserve">11111111-1111-4111-8111-222222222222</t>
        </is>
      </c>
      <c r="B16" t="inlineStr" s="1">
        <is>
          <t xml:space="preserve">goods.1.cnCode</t>
        </is>
      </c>
      <c r="C16" t="inlineStr" s="1">
        <is>
          <t xml:space="preserve">131f55d58925bbb16c2b5fc319042056ebcb0e5d192f642740fb7a0fa246bc7c</t>
        </is>
      </c>
      <c r="D16" t="inlineStr" s="1">
        <is>
          <t xml:space="preserve">APPROVED</t>
        </is>
      </c>
      <c r="E16" t="inlineStr" s="1">
        <is>
          <t xml:space="preserve">SUPPORTED</t>
        </is>
      </c>
    </row>
    <row r="17">
      <c r="A17" t="inlineStr" s="1">
        <is>
          <t xml:space="preserve">11111111-1111-4111-8111-222222222222</t>
        </is>
      </c>
      <c r="B17" t="inlineStr" s="1">
        <is>
          <t xml:space="preserve">goods.1.allocationShare</t>
        </is>
      </c>
      <c r="C17" t="inlineStr" s="1">
        <is>
          <t xml:space="preserve">131f55d58925bbb16c2b5fc319042056ebcb0e5d192f642740fb7a0fa246bc7c</t>
        </is>
      </c>
      <c r="D17" t="inlineStr" s="1">
        <is>
          <t xml:space="preserve">APPROVED</t>
        </is>
      </c>
      <c r="E17" t="inlineStr" s="1">
        <is>
          <t xml:space="preserve">SUPPORTED</t>
        </is>
      </c>
    </row>
    <row r="18">
      <c r="A18" t="inlineStr" s="1">
        <is>
          <t xml:space="preserve">11111111-1111-4111-8111-333333333333</t>
        </is>
      </c>
      <c r="B18" t="inlineStr" s="1">
        <is>
          <t xml:space="preserve">electricityConsumed</t>
        </is>
      </c>
      <c r="C18" t="inlineStr" s="1">
        <is>
          <t xml:space="preserve">7e9c3cdb25683a0e8ce19c6c4f0c4048e2ef18fa76c94cbe122f4e82eeb5f335</t>
        </is>
      </c>
      <c r="D18" t="inlineStr" s="1">
        <is>
          <t xml:space="preserve">APPROVED</t>
        </is>
      </c>
      <c r="E18" t="inlineStr" s="1">
        <is>
          <t xml:space="preserve">SUPPORTED</t>
        </is>
      </c>
    </row>
    <row r="19">
      <c r="A19" t="inlineStr" s="1">
        <is>
          <t xml:space="preserve">11111111-1111-4111-8111-333333333333</t>
        </is>
      </c>
      <c r="B19" t="inlineStr" s="1">
        <is>
          <t xml:space="preserve">gridEmissionFactor</t>
        </is>
      </c>
      <c r="C19" t="inlineStr" s="1">
        <is>
          <t xml:space="preserve">7e9c3cdb25683a0e8ce19c6c4f0c4048e2ef18fa76c94cbe122f4e82eeb5f335</t>
        </is>
      </c>
      <c r="D19" t="inlineStr" s="1">
        <is>
          <t xml:space="preserve">APPROVED</t>
        </is>
      </c>
      <c r="E19" t="inlineStr" s="1">
        <is>
          <t xml:space="preserve">SUPPORTED</t>
        </is>
      </c>
    </row>
    <row r="20">
      <c r="A20" t="inlineStr" s="1">
        <is>
          <t xml:space="preserve">11111111-1111-4111-8111-444444444444</t>
        </is>
      </c>
      <c r="B20" t="inlineStr" s="1">
        <is>
          <t xml:space="preserve">goods.0.productionVolume</t>
        </is>
      </c>
      <c r="C20" t="inlineStr" s="1">
        <is>
          <t xml:space="preserve">c5ecc502ccc8d7accbfb3302bbc20577301d605d967ed003e95a6056d79d6062</t>
        </is>
      </c>
      <c r="D20" t="inlineStr" s="1">
        <is>
          <t xml:space="preserve">APPROVED</t>
        </is>
      </c>
      <c r="E20" t="inlineStr" s="1">
        <is>
          <t xml:space="preserve">SUPPORTED</t>
        </is>
      </c>
    </row>
    <row r="21">
      <c r="A21" t="inlineStr" s="1">
        <is>
          <t xml:space="preserve">11111111-1111-4111-8111-444444444444</t>
        </is>
      </c>
      <c r="B21" t="inlineStr" s="1">
        <is>
          <t xml:space="preserve">goods.0.allocationShare</t>
        </is>
      </c>
      <c r="C21" t="inlineStr" s="1">
        <is>
          <t xml:space="preserve">c5ecc502ccc8d7accbfb3302bbc20577301d605d967ed003e95a6056d79d6062</t>
        </is>
      </c>
      <c r="D21" t="inlineStr" s="1">
        <is>
          <t xml:space="preserve">APPROVED</t>
        </is>
      </c>
      <c r="E21" t="inlineStr" s="1">
        <is>
          <t xml:space="preserve">SUPPORTED</t>
        </is>
      </c>
    </row>
    <row r="22">
      <c r="A22" t="inlineStr" s="1">
        <is>
          <t xml:space="preserve">11111111-1111-4111-8111-444444444444</t>
        </is>
      </c>
      <c r="B22" t="inlineStr" s="1">
        <is>
          <t xml:space="preserve">goods.1.allocationShare</t>
        </is>
      </c>
      <c r="C22" t="inlineStr" s="1">
        <is>
          <t xml:space="preserve">c5ecc502ccc8d7accbfb3302bbc20577301d605d967ed003e95a6056d79d6062</t>
        </is>
      </c>
      <c r="D22" t="inlineStr" s="1">
        <is>
          <t xml:space="preserve">APPROVED</t>
        </is>
      </c>
      <c r="E22" t="inlineStr" s="1">
        <is>
          <t xml:space="preserve">SUPPORTED</t>
        </is>
      </c>
    </row>
    <row r="23">
      <c r="A23" t="inlineStr" s="1">
        <is>
          <t xml:space="preserve">11111111-1111-4111-8111-555555555555</t>
        </is>
      </c>
      <c r="B23" t="inlineStr" s="1">
        <is>
          <t xml:space="preserve">directEmissions</t>
        </is>
      </c>
      <c r="C23" t="inlineStr" s="1">
        <is>
          <t xml:space="preserve">52f88d25d5eba4319069b122447ad9073e41f2d4e7aafeede6bc99ccab29e634</t>
        </is>
      </c>
      <c r="D23" t="inlineStr" s="1">
        <is>
          <t xml:space="preserve">APPROVED</t>
        </is>
      </c>
      <c r="E23" t="inlineStr" s="1">
        <is>
          <t xml:space="preserve">SUPPORTED</t>
        </is>
      </c>
    </row>
    <row r="24">
      <c r="A24" t="inlineStr" s="1">
        <is>
          <t xml:space="preserve">11111111-1111-4111-8111-555555555555</t>
        </is>
      </c>
      <c r="B24" t="inlineStr" s="1">
        <is>
          <t xml:space="preserve">goods.1.productionVolume</t>
        </is>
      </c>
      <c r="C24" t="inlineStr" s="1">
        <is>
          <t xml:space="preserve">52f88d25d5eba4319069b122447ad9073e41f2d4e7aafeede6bc99ccab29e634</t>
        </is>
      </c>
      <c r="D24" t="inlineStr" s="1">
        <is>
          <t xml:space="preserve">APPROVED</t>
        </is>
      </c>
      <c r="E24" t="inlineStr" s="1">
        <is>
          <t xml:space="preserve">SUPPORTED</t>
        </is>
      </c>
    </row>
    <row r="25">
      <c r="A25" t="inlineStr" s="1">
        <is>
          <t xml:space="preserve">11111111-1111-4111-8111-666666666666</t>
        </is>
      </c>
      <c r="B25" t="inlineStr" s="1">
        <is>
          <t xml:space="preserve">directEmissions</t>
        </is>
      </c>
      <c r="C25" t="inlineStr" s="1">
        <is>
          <t xml:space="preserve">8adfa9f9eb2d649a8401b5f4997c41f1d3ae70ae792384a54909dc72ae0ba685</t>
        </is>
      </c>
      <c r="D25" t="inlineStr" s="1">
        <is>
          <t xml:space="preserve">APPROVED</t>
        </is>
      </c>
      <c r="E25" t="inlineStr" s="1">
        <is>
          <t xml:space="preserve">SUPPORTED</t>
        </is>
      </c>
    </row>
  </sheetData>
  <autoFilter ref="A1:E25"/>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landscape" fitToWidth="1" fitToHeight="0" paperSize="9"/>
</worksheet>
</file>

<file path=xl/worksheets/sheet21.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0" customWidth="1"/>
    <col min="2" max="2" width="16" customWidth="1"/>
    <col min="3" max="3" width="30" customWidth="1"/>
    <col min="4" max="4" width="56" customWidth="1"/>
    <col min="5" max="5" width="70" customWidth="1"/>
    <col min="6" max="6" width="50" customWidth="1"/>
  </cols>
  <sheetData>
    <row r="1" ht="24" customHeight="1">
      <c r="A1" t="inlineStr" s="3">
        <is>
          <t xml:space="preserve">Finding ID</t>
        </is>
      </c>
      <c r="B1" t="inlineStr" s="3">
        <is>
          <t xml:space="preserve">Severity</t>
        </is>
      </c>
      <c r="C1" t="inlineStr" s="3">
        <is>
          <t xml:space="preserve">Category</t>
        </is>
      </c>
      <c r="D1" t="inlineStr" s="3">
        <is>
          <t xml:space="preserve">Title</t>
        </is>
      </c>
      <c r="E1" t="inlineStr" s="3">
        <is>
          <t xml:space="preserve">Description</t>
        </is>
      </c>
      <c r="F1" t="inlineStr" s="3">
        <is>
          <t xml:space="preserve">Impact</t>
        </is>
      </c>
    </row>
    <row r="2">
      <c r="A2" t="inlineStr" s="1">
        <is>
          <t xml:space="preserve">FND-PERIOD-FUTURE-END-DATE</t>
        </is>
      </c>
      <c r="B2" t="inlineStr" s="7">
        <is>
          <t xml:space="preserve">CRITICAL_BLOCKER</t>
        </is>
      </c>
      <c r="C2" t="inlineStr" s="1">
        <is>
          <t xml:space="preserve">REPORTING_PERIOD</t>
        </is>
      </c>
      <c r="D2" t="inlineStr" s="1">
        <is>
          <t xml:space="preserve">Future Reporting Period End Date</t>
        </is>
      </c>
      <c r="E2" t="inlineStr" s="1">
        <is>
          <t xml:space="preserve">The structurally complete annual reporting period ends in the future. A conditional operator working file may be generated, but definitive annual readiness and verifier handover remain blocked.</t>
        </is>
      </c>
      <c r="F2" t="inlineStr" s="1">
        <is>
          <t xml:space="preserve">A future annual period blocks definitive readiness and verifier handover, but not an explicitly conditional operator working file.</t>
        </is>
      </c>
    </row>
  </sheetData>
  <autoFilter ref="A1:F21"/>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landscape" fitToWidth="1" fitToHeight="0" paperSize="9"/>
</worksheet>
</file>

<file path=xl/worksheets/sheet22.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0" customWidth="1"/>
    <col min="2" max="2" width="16" customWidth="1"/>
    <col min="3" max="3" width="30" customWidth="1"/>
    <col min="4" max="4" width="56" customWidth="1"/>
    <col min="5" max="5" width="70" customWidth="1"/>
    <col min="6" max="6" width="50" customWidth="1"/>
  </cols>
  <sheetData>
    <row r="1" ht="24" customHeight="1">
      <c r="A1" t="inlineStr" s="3">
        <is>
          <t xml:space="preserve">Finding ID</t>
        </is>
      </c>
      <c r="B1" t="inlineStr" s="3">
        <is>
          <t xml:space="preserve">Severity</t>
        </is>
      </c>
      <c r="C1" t="inlineStr" s="3">
        <is>
          <t xml:space="preserve">Category</t>
        </is>
      </c>
      <c r="D1" t="inlineStr" s="3">
        <is>
          <t xml:space="preserve">Title</t>
        </is>
      </c>
      <c r="E1" t="inlineStr" s="3">
        <is>
          <t xml:space="preserve">Description</t>
        </is>
      </c>
      <c r="F1" t="inlineStr" s="3">
        <is>
          <t xml:space="preserve">Basis</t>
        </is>
      </c>
    </row>
    <row r="2">
      <c r="A2" t="inlineStr" s="1">
        <is>
          <t xml:space="preserve">FND-EVD-REQ-OP-NAME-48f7b3af</t>
        </is>
      </c>
      <c r="B2" t="inlineStr" s="7">
        <is>
          <t xml:space="preserve">MATERIAL</t>
        </is>
      </c>
      <c r="C2" t="inlineStr" s="1">
        <is>
          <t xml:space="preserve">EVIDENCE_GAP</t>
        </is>
      </c>
      <c r="D2" t="inlineStr" s="1">
        <is>
          <t xml:space="preserve">Evidence sufficiency for exporterIdentity.legalName</t>
        </is>
      </c>
      <c r="E2" t="inlineStr" s="1">
        <is>
          <t xml:space="preserve">Evidence check failed with status 'PARTIALLY_SUPPORTED'. Reason codes: MATERIAL_EVIDENCE_QUALITY_D_OR_E, SINGLE_SOURCE_CONCENTRATION, EVIDENCE_DIVERSITY_INSUFFICIENT</t>
        </is>
      </c>
      <c r="F2" t="inlineStr" s="1">
        <is>
          <t xml:space="preserve">Commission Implementing Regulation (EU) 2025/2546 - Article 6</t>
        </is>
      </c>
    </row>
    <row r="3">
      <c r="A3" t="inlineStr" s="1">
        <is>
          <t xml:space="preserve">FND-EVD-REQ-OP-ADDR-a3948e9f</t>
        </is>
      </c>
      <c r="B3" t="inlineStr" s="7">
        <is>
          <t xml:space="preserve">MATERIAL</t>
        </is>
      </c>
      <c r="C3" t="inlineStr" s="1">
        <is>
          <t xml:space="preserve">EVIDENCE_GAP</t>
        </is>
      </c>
      <c r="D3" t="inlineStr" s="1">
        <is>
          <t xml:space="preserve">Evidence sufficiency for exporterIdentity.address</t>
        </is>
      </c>
      <c r="E3" t="inlineStr" s="1">
        <is>
          <t xml:space="preserve">Evidence check failed with status 'PARTIALLY_SUPPORTED'. Reason codes: MATERIAL_EVIDENCE_QUALITY_D_OR_E, SINGLE_SOURCE_CONCENTRATION, EVIDENCE_DIVERSITY_INSUFFICIENT</t>
        </is>
      </c>
      <c r="F3" t="inlineStr" s="1">
        <is>
          <t xml:space="preserve">Commission Implementing Regulation (EU) 2025/2546 - Article 6</t>
        </is>
      </c>
    </row>
    <row r="4">
      <c r="A4" t="inlineStr" s="1">
        <is>
          <t xml:space="preserve">FND-EVD-REQ-IM-NAME-04868796</t>
        </is>
      </c>
      <c r="B4" t="inlineStr" s="7">
        <is>
          <t xml:space="preserve">MATERIAL</t>
        </is>
      </c>
      <c r="C4" t="inlineStr" s="1">
        <is>
          <t xml:space="preserve">EVIDENCE_GAP</t>
        </is>
      </c>
      <c r="D4" t="inlineStr" s="1">
        <is>
          <t xml:space="preserve">Evidence sufficiency for importerIdentity.legalName</t>
        </is>
      </c>
      <c r="E4" t="inlineStr" s="1">
        <is>
          <t xml:space="preserve">Evidence check failed with status 'PARTIALLY_SUPPORTED'. Reason codes: MATERIAL_EVIDENCE_QUALITY_D_OR_E, SINGLE_SOURCE_CONCENTRATION, EVIDENCE_DIVERSITY_INSUFFICIENT</t>
        </is>
      </c>
      <c r="F4" t="inlineStr" s="1">
        <is>
          <t xml:space="preserve">Commission Implementing Regulation (EU) 2025/2546 - Article 6</t>
        </is>
      </c>
    </row>
    <row r="5">
      <c r="A5" t="inlineStr" s="1">
        <is>
          <t xml:space="preserve">FND-EVD-REQ-IM-EORI-f54bf13a</t>
        </is>
      </c>
      <c r="B5" t="inlineStr" s="7">
        <is>
          <t xml:space="preserve">MATERIAL</t>
        </is>
      </c>
      <c r="C5" t="inlineStr" s="1">
        <is>
          <t xml:space="preserve">EVIDENCE_GAP</t>
        </is>
      </c>
      <c r="D5" t="inlineStr" s="1">
        <is>
          <t xml:space="preserve">Evidence sufficiency for importerIdentity.eoriNumber</t>
        </is>
      </c>
      <c r="E5" t="inlineStr" s="1">
        <is>
          <t xml:space="preserve">Evidence check failed with status 'PARTIALLY_SUPPORTED'. Reason codes: MATERIAL_EVIDENCE_QUALITY_D_OR_E, SINGLE_SOURCE_CONCENTRATION, EVIDENCE_DIVERSITY_INSUFFICIENT</t>
        </is>
      </c>
      <c r="F5" t="inlineStr" s="1">
        <is>
          <t xml:space="preserve">Commission Implementing Regulation (EU) 2025/2546 - Article 6</t>
        </is>
      </c>
    </row>
    <row r="6">
      <c r="A6" t="inlineStr" s="1">
        <is>
          <t xml:space="preserve">FND-EVD-REQ-INST-NAME-d33a6c06</t>
        </is>
      </c>
      <c r="B6" t="inlineStr" s="7">
        <is>
          <t xml:space="preserve">MATERIAL</t>
        </is>
      </c>
      <c r="C6" t="inlineStr" s="1">
        <is>
          <t xml:space="preserve">EVIDENCE_GAP</t>
        </is>
      </c>
      <c r="D6" t="inlineStr" s="1">
        <is>
          <t xml:space="preserve">Evidence sufficiency for installation.name</t>
        </is>
      </c>
      <c r="E6" t="inlineStr" s="1">
        <is>
          <t xml:space="preserve">Evidence check failed with status 'PARTIALLY_SUPPORTED'. Reason codes: MATERIAL_EVIDENCE_QUALITY_D_OR_E, SINGLE_SOURCE_CONCENTRATION, EVIDENCE_DIVERSITY_INSUFFICIENT</t>
        </is>
      </c>
      <c r="F6" t="inlineStr" s="1">
        <is>
          <t xml:space="preserve">Commission Implementing Regulation (EU) 2025/2546 - Article 6</t>
        </is>
      </c>
    </row>
    <row r="7">
      <c r="A7" t="inlineStr" s="1">
        <is>
          <t xml:space="preserve">FND-EVD-REQ-INST-COUNTRY-27d475dd</t>
        </is>
      </c>
      <c r="B7" t="inlineStr" s="7">
        <is>
          <t xml:space="preserve">MATERIAL</t>
        </is>
      </c>
      <c r="C7" t="inlineStr" s="1">
        <is>
          <t xml:space="preserve">EVIDENCE_GAP</t>
        </is>
      </c>
      <c r="D7" t="inlineStr" s="1">
        <is>
          <t xml:space="preserve">Evidence sufficiency for installation.country</t>
        </is>
      </c>
      <c r="E7" t="inlineStr" s="1">
        <is>
          <t xml:space="preserve">Evidence check failed with status 'PARTIALLY_SUPPORTED'. Reason codes: MATERIAL_EVIDENCE_QUALITY_D_OR_E, SINGLE_SOURCE_CONCENTRATION, EVIDENCE_DIVERSITY_INSUFFICIENT</t>
        </is>
      </c>
      <c r="F7" t="inlineStr" s="1">
        <is>
          <t xml:space="preserve">Commission Implementing Regulation (EU) 2025/2546 - Article 6</t>
        </is>
      </c>
    </row>
    <row r="8">
      <c r="A8" t="inlineStr" s="1">
        <is>
          <t xml:space="preserve">FND-EVD-REQ-INST-ROUTE-9cb92e31</t>
        </is>
      </c>
      <c r="B8" t="inlineStr" s="7">
        <is>
          <t xml:space="preserve">MATERIAL</t>
        </is>
      </c>
      <c r="C8" t="inlineStr" s="1">
        <is>
          <t xml:space="preserve">EVIDENCE_GAP</t>
        </is>
      </c>
      <c r="D8" t="inlineStr" s="1">
        <is>
          <t xml:space="preserve">Evidence sufficiency for installation.productionRoute</t>
        </is>
      </c>
      <c r="E8" t="inlineStr" s="1">
        <is>
          <t xml:space="preserve">Evidence check failed with status 'PARTIALLY_SUPPORTED'. Reason codes: MATERIAL_EVIDENCE_QUALITY_D_OR_E, SINGLE_SOURCE_CONCENTRATION, EVIDENCE_DIVERSITY_INSUFFICIENT</t>
        </is>
      </c>
      <c r="F8" t="inlineStr" s="1">
        <is>
          <t xml:space="preserve">Commission Implementing Regulation (EU) 2025/2546 - Article 6</t>
        </is>
      </c>
    </row>
    <row r="9">
      <c r="A9" t="inlineStr" s="1">
        <is>
          <t xml:space="preserve">FND-EVD-REQ-INST-BOUNDS-3cc9fd42</t>
        </is>
      </c>
      <c r="B9" t="inlineStr" s="7">
        <is>
          <t xml:space="preserve">CRITICAL</t>
        </is>
      </c>
      <c r="C9" t="inlineStr" s="1">
        <is>
          <t xml:space="preserve">EVIDENCE_GAP</t>
        </is>
      </c>
      <c r="D9" t="inlineStr" s="1">
        <is>
          <t xml:space="preserve">Evidence sufficiency for installation.systemBoundaries</t>
        </is>
      </c>
      <c r="E9" t="inlineStr" s="1">
        <is>
          <t xml:space="preserve">Evidence check failed with status 'MISSING'. Reason codes: ACCEPTED_METHODOLOGY_DECISION_MISSING, EVIDENCE_DIVERSITY_INSUFFICIENT</t>
        </is>
      </c>
      <c r="F9" t="inlineStr" s="1">
        <is>
          <t xml:space="preserve">Commission Implementing Regulation (EU) 2025/2546 - Article 6</t>
        </is>
      </c>
    </row>
    <row r="10">
      <c r="A10" t="inlineStr" s="1">
        <is>
          <t xml:space="preserve">FND-EVD-REQ-PERIOD-YEAR-73cb0ba5</t>
        </is>
      </c>
      <c r="B10" t="inlineStr" s="7">
        <is>
          <t xml:space="preserve">MATERIAL</t>
        </is>
      </c>
      <c r="C10" t="inlineStr" s="1">
        <is>
          <t xml:space="preserve">EVIDENCE_GAP</t>
        </is>
      </c>
      <c r="D10" t="inlineStr" s="1">
        <is>
          <t xml:space="preserve">Evidence sufficiency for reportingPeriod.year</t>
        </is>
      </c>
      <c r="E10" t="inlineStr" s="1">
        <is>
          <t xml:space="preserve">Evidence check failed with status 'PARTIALLY_SUPPORTED'. Reason codes: MATERIAL_EVIDENCE_QUALITY_D_OR_E, SINGLE_SOURCE_CONCENTRATION, EVIDENCE_DIVERSITY_INSUFFICIENT</t>
        </is>
      </c>
      <c r="F10" t="inlineStr" s="1">
        <is>
          <t xml:space="preserve">Commission Implementing Regulation (EU) 2025/2546 - Article 6</t>
        </is>
      </c>
    </row>
    <row r="11">
      <c r="A11" t="inlineStr" s="1">
        <is>
          <t xml:space="preserve">FND-EVD-REQ-GOOD-CN-0-f953cb54</t>
        </is>
      </c>
      <c r="B11" t="inlineStr" s="7">
        <is>
          <t xml:space="preserve">MATERIAL</t>
        </is>
      </c>
      <c r="C11" t="inlineStr" s="1">
        <is>
          <t xml:space="preserve">EVIDENCE_GAP</t>
        </is>
      </c>
      <c r="D11" t="inlineStr" s="1">
        <is>
          <t xml:space="preserve">Evidence sufficiency for goods.0.cnCode</t>
        </is>
      </c>
      <c r="E11" t="inlineStr" s="1">
        <is>
          <t xml:space="preserve">Evidence check failed with status 'PARTIALLY_SUPPORTED'. Reason codes: MATERIAL_EVIDENCE_QUALITY_D_OR_E, SINGLE_SOURCE_CONCENTRATION, EVIDENCE_DIVERSITY_INSUFFICIENT</t>
        </is>
      </c>
      <c r="F11" t="inlineStr" s="1">
        <is>
          <t xml:space="preserve">Commission Implementing Regulation (EU) 2025/2546 - Article 6</t>
        </is>
      </c>
    </row>
    <row r="12">
      <c r="A12" t="inlineStr" s="1">
        <is>
          <t xml:space="preserve">FND-EVD-REQ-GOOD-VOL-0-60f59cb0</t>
        </is>
      </c>
      <c r="B12" t="inlineStr" s="7">
        <is>
          <t xml:space="preserve">MATERIAL</t>
        </is>
      </c>
      <c r="C12" t="inlineStr" s="1">
        <is>
          <t xml:space="preserve">EVIDENCE_GAP</t>
        </is>
      </c>
      <c r="D12" t="inlineStr" s="1">
        <is>
          <t xml:space="preserve">Evidence sufficiency for goods.0.productionVolume</t>
        </is>
      </c>
      <c r="E12" t="inlineStr" s="1">
        <is>
          <t xml:space="preserve">Evidence check failed with status 'PARTIALLY_SUPPORTED'. Reason codes: MATERIAL_EVIDENCE_QUALITY_D_OR_E, EVIDENCE_DIVERSITY_INSUFFICIENT</t>
        </is>
      </c>
      <c r="F12" t="inlineStr" s="1">
        <is>
          <t xml:space="preserve">Commission Implementing Regulation (EU) 2025/2546 - Article 6</t>
        </is>
      </c>
    </row>
    <row r="13">
      <c r="A13" t="inlineStr" s="1">
        <is>
          <t xml:space="preserve">FND-EVD-REQ-GOOD-ALLOC-0-4ec513d1</t>
        </is>
      </c>
      <c r="B13" t="inlineStr" s="7">
        <is>
          <t xml:space="preserve">MATERIAL</t>
        </is>
      </c>
      <c r="C13" t="inlineStr" s="1">
        <is>
          <t xml:space="preserve">EVIDENCE_GAP</t>
        </is>
      </c>
      <c r="D13" t="inlineStr" s="1">
        <is>
          <t xml:space="preserve">Evidence sufficiency for goods.0.allocationShare</t>
        </is>
      </c>
      <c r="E13" t="inlineStr" s="1">
        <is>
          <t xml:space="preserve">Evidence check failed with status 'PARTIALLY_SUPPORTED'. Reason codes: SINGLE_SOURCE_CONCENTRATION</t>
        </is>
      </c>
      <c r="F13" t="inlineStr" s="1">
        <is>
          <t xml:space="preserve">Commission Implementing Regulation (EU) 2025/2546 - Article 6</t>
        </is>
      </c>
    </row>
    <row r="14">
      <c r="A14" t="inlineStr" s="1">
        <is>
          <t xml:space="preserve">FND-EVD-REQ-GOOD-CN-1-45ca12cf</t>
        </is>
      </c>
      <c r="B14" t="inlineStr" s="7">
        <is>
          <t xml:space="preserve">MATERIAL</t>
        </is>
      </c>
      <c r="C14" t="inlineStr" s="1">
        <is>
          <t xml:space="preserve">EVIDENCE_GAP</t>
        </is>
      </c>
      <c r="D14" t="inlineStr" s="1">
        <is>
          <t xml:space="preserve">Evidence sufficiency for goods.1.cnCode</t>
        </is>
      </c>
      <c r="E14" t="inlineStr" s="1">
        <is>
          <t xml:space="preserve">Evidence check failed with status 'PARTIALLY_SUPPORTED'. Reason codes: MATERIAL_EVIDENCE_QUALITY_D_OR_E, SINGLE_SOURCE_CONCENTRATION, EVIDENCE_DIVERSITY_INSUFFICIENT</t>
        </is>
      </c>
      <c r="F14" t="inlineStr" s="1">
        <is>
          <t xml:space="preserve">Commission Implementing Regulation (EU) 2025/2546 - Article 6</t>
        </is>
      </c>
    </row>
    <row r="15">
      <c r="A15" t="inlineStr" s="1">
        <is>
          <t xml:space="preserve">FND-EVD-REQ-GOOD-VOL-1-9904aa12</t>
        </is>
      </c>
      <c r="B15" t="inlineStr" s="7">
        <is>
          <t xml:space="preserve">MATERIAL</t>
        </is>
      </c>
      <c r="C15" t="inlineStr" s="1">
        <is>
          <t xml:space="preserve">EVIDENCE_GAP</t>
        </is>
      </c>
      <c r="D15" t="inlineStr" s="1">
        <is>
          <t xml:space="preserve">Evidence sufficiency for goods.1.productionVolume</t>
        </is>
      </c>
      <c r="E15" t="inlineStr" s="1">
        <is>
          <t xml:space="preserve">Evidence check failed with status 'PARTIALLY_SUPPORTED'. Reason codes: MATERIAL_EVIDENCE_QUALITY_D_OR_E, EVIDENCE_DIVERSITY_INSUFFICIENT</t>
        </is>
      </c>
      <c r="F15" t="inlineStr" s="1">
        <is>
          <t xml:space="preserve">Commission Implementing Regulation (EU) 2025/2546 - Article 6</t>
        </is>
      </c>
    </row>
    <row r="16">
      <c r="A16" t="inlineStr" s="1">
        <is>
          <t xml:space="preserve">FND-EVD-REQ-GOOD-ALLOC-1-883a98b2</t>
        </is>
      </c>
      <c r="B16" t="inlineStr" s="7">
        <is>
          <t xml:space="preserve">MATERIAL</t>
        </is>
      </c>
      <c r="C16" t="inlineStr" s="1">
        <is>
          <t xml:space="preserve">EVIDENCE_GAP</t>
        </is>
      </c>
      <c r="D16" t="inlineStr" s="1">
        <is>
          <t xml:space="preserve">Evidence sufficiency for goods.1.allocationShare</t>
        </is>
      </c>
      <c r="E16" t="inlineStr" s="1">
        <is>
          <t xml:space="preserve">Evidence check failed with status 'PARTIALLY_SUPPORTED'. Reason codes: SINGLE_SOURCE_CONCENTRATION</t>
        </is>
      </c>
      <c r="F16" t="inlineStr" s="1">
        <is>
          <t xml:space="preserve">Commission Implementing Regulation (EU) 2025/2546 - Article 6</t>
        </is>
      </c>
    </row>
    <row r="17">
      <c r="A17" t="inlineStr" s="1">
        <is>
          <t xml:space="preserve">FND-EVD-REQ-DIR-EM-6abf06d4</t>
        </is>
      </c>
      <c r="B17" t="inlineStr" s="7">
        <is>
          <t xml:space="preserve">MATERIAL</t>
        </is>
      </c>
      <c r="C17" t="inlineStr" s="1">
        <is>
          <t xml:space="preserve">EVIDENCE_GAP</t>
        </is>
      </c>
      <c r="D17" t="inlineStr" s="1">
        <is>
          <t xml:space="preserve">Evidence sufficiency for directEmissions</t>
        </is>
      </c>
      <c r="E17" t="inlineStr" s="1">
        <is>
          <t xml:space="preserve">Evidence check failed with status 'PARTIALLY_SUPPORTED'. Reason codes: MATERIAL_EVIDENCE_QUALITY_D_OR_E, EVIDENCE_DIVERSITY_INSUFFICIENT</t>
        </is>
      </c>
      <c r="F17" t="inlineStr" s="1">
        <is>
          <t xml:space="preserve">Commission Implementing Regulation (EU) 2025/2546 - Article 6</t>
        </is>
      </c>
    </row>
    <row r="18">
      <c r="A18" t="inlineStr" s="1">
        <is>
          <t xml:space="preserve">FND-EVD-REQ-ELEC-CON-0f05ca12</t>
        </is>
      </c>
      <c r="B18" t="inlineStr" s="7">
        <is>
          <t xml:space="preserve">MATERIAL</t>
        </is>
      </c>
      <c r="C18" t="inlineStr" s="1">
        <is>
          <t xml:space="preserve">EVIDENCE_GAP</t>
        </is>
      </c>
      <c r="D18" t="inlineStr" s="1">
        <is>
          <t xml:space="preserve">Evidence sufficiency for electricityConsumed</t>
        </is>
      </c>
      <c r="E18" t="inlineStr" s="1">
        <is>
          <t xml:space="preserve">Evidence check failed with status 'PARTIALLY_SUPPORTED'. Reason codes: MATERIAL_EVIDENCE_QUALITY_D_OR_E, EVIDENCE_DIVERSITY_INSUFFICIENT</t>
        </is>
      </c>
      <c r="F18" t="inlineStr" s="1">
        <is>
          <t xml:space="preserve">Commission Implementing Regulation (EU) 2025/2546 - Article 6</t>
        </is>
      </c>
    </row>
    <row r="19">
      <c r="A19" t="inlineStr" s="1">
        <is>
          <t xml:space="preserve">FND-EVD-REQ-ELEC-FAC-4b99605c</t>
        </is>
      </c>
      <c r="B19" t="inlineStr" s="7">
        <is>
          <t xml:space="preserve">MATERIAL</t>
        </is>
      </c>
      <c r="C19" t="inlineStr" s="1">
        <is>
          <t xml:space="preserve">EVIDENCE_GAP</t>
        </is>
      </c>
      <c r="D19" t="inlineStr" s="1">
        <is>
          <t xml:space="preserve">Evidence sufficiency for gridEmissionFactor</t>
        </is>
      </c>
      <c r="E19" t="inlineStr" s="1">
        <is>
          <t xml:space="preserve">Evidence check failed with status 'PARTIALLY_SUPPORTED'. Reason codes: MATERIAL_EVIDENCE_QUALITY_D_OR_E, EVIDENCE_DIVERSITY_INSUFFICIENT</t>
        </is>
      </c>
      <c r="F19" t="inlineStr" s="1">
        <is>
          <t xml:space="preserve">Commission Implementing Regulation (EU) 2025/2546 - Article 6</t>
        </is>
      </c>
    </row>
    <row r="20">
      <c r="A20" t="inlineStr" s="1">
        <is>
          <t xml:space="preserve">FND-EVD-REQ-CP-PAY-0-4d27d543</t>
        </is>
      </c>
      <c r="B20" t="inlineStr" s="6">
        <is>
          <t xml:space="preserve">MAJOR</t>
        </is>
      </c>
      <c r="C20" t="inlineStr" s="1">
        <is>
          <t xml:space="preserve">EVIDENCE_GAP</t>
        </is>
      </c>
      <c r="D20" t="inlineStr" s="1">
        <is>
          <t xml:space="preserve">Evidence sufficiency for carbonPriceRecords.0.proofOfPaymentEvidenceId</t>
        </is>
      </c>
      <c r="E20" t="inlineStr" s="1">
        <is>
          <t xml:space="preserve">Evidence check failed with status 'UNLINKED'. Reason codes: INPUT_PATH_NOT_LINKED_TO_EVIDENCE</t>
        </is>
      </c>
      <c r="F20" t="inlineStr" s="1">
        <is>
          <t xml:space="preserve">Commission Implementing Regulation (EU) 2025/2546 - Article 6</t>
        </is>
      </c>
    </row>
  </sheetData>
  <autoFilter ref="A1:F21"/>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landscape" fitToWidth="1" fitToHeight="0" paperSize="9"/>
</worksheet>
</file>

<file path=xl/worksheets/sheet23.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6" customWidth="1"/>
    <col min="2" max="2" width="40" customWidth="1"/>
    <col min="3" max="3" width="12" customWidth="1"/>
    <col min="4" max="4" width="78" customWidth="1"/>
    <col min="5" max="5" width="26" customWidth="1"/>
    <col min="6" max="6" width="22" customWidth="1"/>
    <col min="7" max="7" width="60" customWidth="1"/>
  </cols>
  <sheetData>
    <row r="1" ht="24" customHeight="1">
      <c r="A1" t="inlineStr" s="3">
        <is>
          <t xml:space="preserve">Action ID</t>
        </is>
      </c>
      <c r="B1" t="inlineStr" s="3">
        <is>
          <t xml:space="preserve">Finding ID</t>
        </is>
      </c>
      <c r="C1" t="inlineStr" s="3">
        <is>
          <t xml:space="preserve">Priority</t>
        </is>
      </c>
      <c r="D1" t="inlineStr" s="3">
        <is>
          <t xml:space="preserve">Required action</t>
        </is>
      </c>
      <c r="E1" t="inlineStr" s="3">
        <is>
          <t xml:space="preserve">Role</t>
        </is>
      </c>
      <c r="F1" t="inlineStr" s="3">
        <is>
          <t xml:space="preserve">State</t>
        </is>
      </c>
      <c r="G1" t="inlineStr" s="3">
        <is>
          <t xml:space="preserve">Closure condition</t>
        </is>
      </c>
    </row>
    <row r="2">
      <c r="A2" t="inlineStr" s="1">
        <is>
          <t xml:space="preserve">ACT-FND-EVD-REQ-OP-NAME-48f7b3af</t>
        </is>
      </c>
      <c r="B2" t="inlineStr" s="1">
        <is>
          <t xml:space="preserve">FND-EVD-REQ-OP-NAME-48f7b3af</t>
        </is>
      </c>
      <c r="C2" t="inlineStr" s="7">
        <is>
          <t xml:space="preserve">P0</t>
        </is>
      </c>
      <c r="D2" t="inlineStr" s="1">
        <is>
          <t xml:space="preserve">Provide valid and approved evidence for input path 'exporterIdentity.legalName'.</t>
        </is>
      </c>
      <c r="E2" t="inlineStr" s="1">
        <is>
          <t xml:space="preserve">DATA_PREPARER</t>
        </is>
      </c>
      <c r="F2" t="inlineStr" s="7">
        <is>
          <t xml:space="preserve">OPEN</t>
        </is>
      </c>
      <c r="G2" t="inlineStr" s="1">
        <is>
          <t xml:space="preserve">Evidence sufficiency check status for 'exporterIdentity.legalName' is SUPPORTED.</t>
        </is>
      </c>
    </row>
    <row r="3">
      <c r="A3" t="inlineStr" s="1">
        <is>
          <t xml:space="preserve">ACT-FND-EVD-REQ-OP-ADDR-a3948e9f</t>
        </is>
      </c>
      <c r="B3" t="inlineStr" s="1">
        <is>
          <t xml:space="preserve">FND-EVD-REQ-OP-ADDR-a3948e9f</t>
        </is>
      </c>
      <c r="C3" t="inlineStr" s="7">
        <is>
          <t xml:space="preserve">P0</t>
        </is>
      </c>
      <c r="D3" t="inlineStr" s="1">
        <is>
          <t xml:space="preserve">Provide valid and approved evidence for input path 'exporterIdentity.address'.</t>
        </is>
      </c>
      <c r="E3" t="inlineStr" s="1">
        <is>
          <t xml:space="preserve">DATA_PREPARER</t>
        </is>
      </c>
      <c r="F3" t="inlineStr" s="7">
        <is>
          <t xml:space="preserve">OPEN</t>
        </is>
      </c>
      <c r="G3" t="inlineStr" s="1">
        <is>
          <t xml:space="preserve">Evidence sufficiency check status for 'exporterIdentity.address' is SUPPORTED.</t>
        </is>
      </c>
    </row>
    <row r="4">
      <c r="A4" t="inlineStr" s="1">
        <is>
          <t xml:space="preserve">ACT-FND-EVD-REQ-IM-NAME-04868796</t>
        </is>
      </c>
      <c r="B4" t="inlineStr" s="1">
        <is>
          <t xml:space="preserve">FND-EVD-REQ-IM-NAME-04868796</t>
        </is>
      </c>
      <c r="C4" t="inlineStr" s="7">
        <is>
          <t xml:space="preserve">P0</t>
        </is>
      </c>
      <c r="D4" t="inlineStr" s="1">
        <is>
          <t xml:space="preserve">Provide valid and approved evidence for input path 'importerIdentity.legalName'.</t>
        </is>
      </c>
      <c r="E4" t="inlineStr" s="1">
        <is>
          <t xml:space="preserve">DATA_PREPARER</t>
        </is>
      </c>
      <c r="F4" t="inlineStr" s="7">
        <is>
          <t xml:space="preserve">OPEN</t>
        </is>
      </c>
      <c r="G4" t="inlineStr" s="1">
        <is>
          <t xml:space="preserve">Evidence sufficiency check status for 'importerIdentity.legalName' is SUPPORTED.</t>
        </is>
      </c>
    </row>
    <row r="5">
      <c r="A5" t="inlineStr" s="1">
        <is>
          <t xml:space="preserve">ACT-FND-EVD-REQ-IM-EORI-f54bf13a</t>
        </is>
      </c>
      <c r="B5" t="inlineStr" s="1">
        <is>
          <t xml:space="preserve">FND-EVD-REQ-IM-EORI-f54bf13a</t>
        </is>
      </c>
      <c r="C5" t="inlineStr" s="7">
        <is>
          <t xml:space="preserve">P0</t>
        </is>
      </c>
      <c r="D5" t="inlineStr" s="1">
        <is>
          <t xml:space="preserve">Provide valid and approved evidence for input path 'importerIdentity.eoriNumber'.</t>
        </is>
      </c>
      <c r="E5" t="inlineStr" s="1">
        <is>
          <t xml:space="preserve">DATA_PREPARER</t>
        </is>
      </c>
      <c r="F5" t="inlineStr" s="7">
        <is>
          <t xml:space="preserve">OPEN</t>
        </is>
      </c>
      <c r="G5" t="inlineStr" s="1">
        <is>
          <t xml:space="preserve">Evidence sufficiency check status for 'importerIdentity.eoriNumber' is SUPPORTED.</t>
        </is>
      </c>
    </row>
    <row r="6">
      <c r="A6" t="inlineStr" s="1">
        <is>
          <t xml:space="preserve">ACT-FND-EVD-REQ-INST-NAME-d33a6c06</t>
        </is>
      </c>
      <c r="B6" t="inlineStr" s="1">
        <is>
          <t xml:space="preserve">FND-EVD-REQ-INST-NAME-d33a6c06</t>
        </is>
      </c>
      <c r="C6" t="inlineStr" s="7">
        <is>
          <t xml:space="preserve">P0</t>
        </is>
      </c>
      <c r="D6" t="inlineStr" s="1">
        <is>
          <t xml:space="preserve">Provide valid and approved evidence for input path 'installation.name'.</t>
        </is>
      </c>
      <c r="E6" t="inlineStr" s="1">
        <is>
          <t xml:space="preserve">DATA_PREPARER</t>
        </is>
      </c>
      <c r="F6" t="inlineStr" s="7">
        <is>
          <t xml:space="preserve">OPEN</t>
        </is>
      </c>
      <c r="G6" t="inlineStr" s="1">
        <is>
          <t xml:space="preserve">Evidence sufficiency check status for 'installation.name' is SUPPORTED.</t>
        </is>
      </c>
    </row>
    <row r="7">
      <c r="A7" t="inlineStr" s="1">
        <is>
          <t xml:space="preserve">ACT-FND-EVD-REQ-INST-COUNTRY-27d475dd</t>
        </is>
      </c>
      <c r="B7" t="inlineStr" s="1">
        <is>
          <t xml:space="preserve">FND-EVD-REQ-INST-COUNTRY-27d475dd</t>
        </is>
      </c>
      <c r="C7" t="inlineStr" s="7">
        <is>
          <t xml:space="preserve">P0</t>
        </is>
      </c>
      <c r="D7" t="inlineStr" s="1">
        <is>
          <t xml:space="preserve">Provide valid and approved evidence for input path 'installation.country'.</t>
        </is>
      </c>
      <c r="E7" t="inlineStr" s="1">
        <is>
          <t xml:space="preserve">DATA_PREPARER</t>
        </is>
      </c>
      <c r="F7" t="inlineStr" s="7">
        <is>
          <t xml:space="preserve">OPEN</t>
        </is>
      </c>
      <c r="G7" t="inlineStr" s="1">
        <is>
          <t xml:space="preserve">Evidence sufficiency check status for 'installation.country' is SUPPORTED.</t>
        </is>
      </c>
    </row>
    <row r="8">
      <c r="A8" t="inlineStr" s="1">
        <is>
          <t xml:space="preserve">ACT-FND-EVD-REQ-INST-ROUTE-9cb92e31</t>
        </is>
      </c>
      <c r="B8" t="inlineStr" s="1">
        <is>
          <t xml:space="preserve">FND-EVD-REQ-INST-ROUTE-9cb92e31</t>
        </is>
      </c>
      <c r="C8" t="inlineStr" s="7">
        <is>
          <t xml:space="preserve">P0</t>
        </is>
      </c>
      <c r="D8" t="inlineStr" s="1">
        <is>
          <t xml:space="preserve">Provide valid and approved evidence for input path 'installation.productionRoute'.</t>
        </is>
      </c>
      <c r="E8" t="inlineStr" s="1">
        <is>
          <t xml:space="preserve">DATA_PREPARER</t>
        </is>
      </c>
      <c r="F8" t="inlineStr" s="7">
        <is>
          <t xml:space="preserve">OPEN</t>
        </is>
      </c>
      <c r="G8" t="inlineStr" s="1">
        <is>
          <t xml:space="preserve">Evidence sufficiency check status for 'installation.productionRoute' is SUPPORTED.</t>
        </is>
      </c>
    </row>
    <row r="9">
      <c r="A9" t="inlineStr" s="1">
        <is>
          <t xml:space="preserve">ACT-FND-EVD-REQ-INST-BOUNDS-3cc9fd42</t>
        </is>
      </c>
      <c r="B9" t="inlineStr" s="1">
        <is>
          <t xml:space="preserve">FND-EVD-REQ-INST-BOUNDS-3cc9fd42</t>
        </is>
      </c>
      <c r="C9" t="inlineStr" s="7">
        <is>
          <t xml:space="preserve">P0</t>
        </is>
      </c>
      <c r="D9" t="inlineStr" s="1">
        <is>
          <t xml:space="preserve">Provide valid and approved evidence for input path 'installation.systemBoundaries'.</t>
        </is>
      </c>
      <c r="E9" t="inlineStr" s="1">
        <is>
          <t xml:space="preserve">DATA_PREPARER</t>
        </is>
      </c>
      <c r="F9" t="inlineStr" s="7">
        <is>
          <t xml:space="preserve">OPEN</t>
        </is>
      </c>
      <c r="G9" t="inlineStr" s="1">
        <is>
          <t xml:space="preserve">Evidence sufficiency check status for 'installation.systemBoundaries' is SUPPORTED.</t>
        </is>
      </c>
    </row>
    <row r="10">
      <c r="A10" t="inlineStr" s="1">
        <is>
          <t xml:space="preserve">ACT-FND-EVD-REQ-PERIOD-YEAR-73cb0ba5</t>
        </is>
      </c>
      <c r="B10" t="inlineStr" s="1">
        <is>
          <t xml:space="preserve">FND-EVD-REQ-PERIOD-YEAR-73cb0ba5</t>
        </is>
      </c>
      <c r="C10" t="inlineStr" s="7">
        <is>
          <t xml:space="preserve">P0</t>
        </is>
      </c>
      <c r="D10" t="inlineStr" s="1">
        <is>
          <t xml:space="preserve">Provide valid and approved evidence for input path 'reportingPeriod.year'.</t>
        </is>
      </c>
      <c r="E10" t="inlineStr" s="1">
        <is>
          <t xml:space="preserve">DATA_PREPARER</t>
        </is>
      </c>
      <c r="F10" t="inlineStr" s="7">
        <is>
          <t xml:space="preserve">OPEN</t>
        </is>
      </c>
      <c r="G10" t="inlineStr" s="1">
        <is>
          <t xml:space="preserve">Evidence sufficiency check status for 'reportingPeriod.year' is SUPPORTED.</t>
        </is>
      </c>
    </row>
    <row r="11">
      <c r="A11" t="inlineStr" s="1">
        <is>
          <t xml:space="preserve">ACT-FND-EVD-REQ-GOOD-CN-0-f953cb54</t>
        </is>
      </c>
      <c r="B11" t="inlineStr" s="1">
        <is>
          <t xml:space="preserve">FND-EVD-REQ-GOOD-CN-0-f953cb54</t>
        </is>
      </c>
      <c r="C11" t="inlineStr" s="7">
        <is>
          <t xml:space="preserve">P0</t>
        </is>
      </c>
      <c r="D11" t="inlineStr" s="1">
        <is>
          <t xml:space="preserve">Provide valid and approved evidence for input path 'goods.0.cnCode'.</t>
        </is>
      </c>
      <c r="E11" t="inlineStr" s="1">
        <is>
          <t xml:space="preserve">DATA_PREPARER</t>
        </is>
      </c>
      <c r="F11" t="inlineStr" s="7">
        <is>
          <t xml:space="preserve">OPEN</t>
        </is>
      </c>
      <c r="G11" t="inlineStr" s="1">
        <is>
          <t xml:space="preserve">Evidence sufficiency check status for 'goods.0.cnCode' is SUPPORTED.</t>
        </is>
      </c>
    </row>
    <row r="12">
      <c r="A12" t="inlineStr" s="1">
        <is>
          <t xml:space="preserve">ACT-FND-EVD-REQ-GOOD-VOL-0-60f59cb0</t>
        </is>
      </c>
      <c r="B12" t="inlineStr" s="1">
        <is>
          <t xml:space="preserve">FND-EVD-REQ-GOOD-VOL-0-60f59cb0</t>
        </is>
      </c>
      <c r="C12" t="inlineStr" s="7">
        <is>
          <t xml:space="preserve">P0</t>
        </is>
      </c>
      <c r="D12" t="inlineStr" s="1">
        <is>
          <t xml:space="preserve">Provide valid and approved evidence for input path 'goods.0.productionVolume'.</t>
        </is>
      </c>
      <c r="E12" t="inlineStr" s="1">
        <is>
          <t xml:space="preserve">DATA_PREPARER</t>
        </is>
      </c>
      <c r="F12" t="inlineStr" s="7">
        <is>
          <t xml:space="preserve">OPEN</t>
        </is>
      </c>
      <c r="G12" t="inlineStr" s="1">
        <is>
          <t xml:space="preserve">Evidence sufficiency check status for 'goods.0.productionVolume' is SUPPORTED.</t>
        </is>
      </c>
    </row>
    <row r="13">
      <c r="A13" t="inlineStr" s="1">
        <is>
          <t xml:space="preserve">ACT-FND-EVD-REQ-GOOD-ALLOC-0-4ec513d1</t>
        </is>
      </c>
      <c r="B13" t="inlineStr" s="1">
        <is>
          <t xml:space="preserve">FND-EVD-REQ-GOOD-ALLOC-0-4ec513d1</t>
        </is>
      </c>
      <c r="C13" t="inlineStr" s="7">
        <is>
          <t xml:space="preserve">P0</t>
        </is>
      </c>
      <c r="D13" t="inlineStr" s="1">
        <is>
          <t xml:space="preserve">Provide valid and approved evidence for input path 'goods.0.allocationShare'.</t>
        </is>
      </c>
      <c r="E13" t="inlineStr" s="1">
        <is>
          <t xml:space="preserve">DATA_PREPARER</t>
        </is>
      </c>
      <c r="F13" t="inlineStr" s="7">
        <is>
          <t xml:space="preserve">OPEN</t>
        </is>
      </c>
      <c r="G13" t="inlineStr" s="1">
        <is>
          <t xml:space="preserve">Evidence sufficiency check status for 'goods.0.allocationShare' is SUPPORTED.</t>
        </is>
      </c>
    </row>
    <row r="14">
      <c r="A14" t="inlineStr" s="1">
        <is>
          <t xml:space="preserve">ACT-FND-EVD-REQ-GOOD-CN-1-45ca12cf</t>
        </is>
      </c>
      <c r="B14" t="inlineStr" s="1">
        <is>
          <t xml:space="preserve">FND-EVD-REQ-GOOD-CN-1-45ca12cf</t>
        </is>
      </c>
      <c r="C14" t="inlineStr" s="7">
        <is>
          <t xml:space="preserve">P0</t>
        </is>
      </c>
      <c r="D14" t="inlineStr" s="1">
        <is>
          <t xml:space="preserve">Provide valid and approved evidence for input path 'goods.1.cnCode'.</t>
        </is>
      </c>
      <c r="E14" t="inlineStr" s="1">
        <is>
          <t xml:space="preserve">DATA_PREPARER</t>
        </is>
      </c>
      <c r="F14" t="inlineStr" s="7">
        <is>
          <t xml:space="preserve">OPEN</t>
        </is>
      </c>
      <c r="G14" t="inlineStr" s="1">
        <is>
          <t xml:space="preserve">Evidence sufficiency check status for 'goods.1.cnCode' is SUPPORTED.</t>
        </is>
      </c>
    </row>
    <row r="15">
      <c r="A15" t="inlineStr" s="1">
        <is>
          <t xml:space="preserve">ACT-FND-EVD-REQ-GOOD-VOL-1-9904aa12</t>
        </is>
      </c>
      <c r="B15" t="inlineStr" s="1">
        <is>
          <t xml:space="preserve">FND-EVD-REQ-GOOD-VOL-1-9904aa12</t>
        </is>
      </c>
      <c r="C15" t="inlineStr" s="7">
        <is>
          <t xml:space="preserve">P0</t>
        </is>
      </c>
      <c r="D15" t="inlineStr" s="1">
        <is>
          <t xml:space="preserve">Provide valid and approved evidence for input path 'goods.1.productionVolume'.</t>
        </is>
      </c>
      <c r="E15" t="inlineStr" s="1">
        <is>
          <t xml:space="preserve">DATA_PREPARER</t>
        </is>
      </c>
      <c r="F15" t="inlineStr" s="7">
        <is>
          <t xml:space="preserve">OPEN</t>
        </is>
      </c>
      <c r="G15" t="inlineStr" s="1">
        <is>
          <t xml:space="preserve">Evidence sufficiency check status for 'goods.1.productionVolume' is SUPPORTED.</t>
        </is>
      </c>
    </row>
    <row r="16">
      <c r="A16" t="inlineStr" s="1">
        <is>
          <t xml:space="preserve">ACT-FND-EVD-REQ-GOOD-ALLOC-1-883a98b2</t>
        </is>
      </c>
      <c r="B16" t="inlineStr" s="1">
        <is>
          <t xml:space="preserve">FND-EVD-REQ-GOOD-ALLOC-1-883a98b2</t>
        </is>
      </c>
      <c r="C16" t="inlineStr" s="7">
        <is>
          <t xml:space="preserve">P0</t>
        </is>
      </c>
      <c r="D16" t="inlineStr" s="1">
        <is>
          <t xml:space="preserve">Provide valid and approved evidence for input path 'goods.1.allocationShare'.</t>
        </is>
      </c>
      <c r="E16" t="inlineStr" s="1">
        <is>
          <t xml:space="preserve">DATA_PREPARER</t>
        </is>
      </c>
      <c r="F16" t="inlineStr" s="7">
        <is>
          <t xml:space="preserve">OPEN</t>
        </is>
      </c>
      <c r="G16" t="inlineStr" s="1">
        <is>
          <t xml:space="preserve">Evidence sufficiency check status for 'goods.1.allocationShare' is SUPPORTED.</t>
        </is>
      </c>
    </row>
    <row r="17">
      <c r="A17" t="inlineStr" s="1">
        <is>
          <t xml:space="preserve">ACT-FND-EVD-REQ-DIR-EM-6abf06d4</t>
        </is>
      </c>
      <c r="B17" t="inlineStr" s="1">
        <is>
          <t xml:space="preserve">FND-EVD-REQ-DIR-EM-6abf06d4</t>
        </is>
      </c>
      <c r="C17" t="inlineStr" s="7">
        <is>
          <t xml:space="preserve">P0</t>
        </is>
      </c>
      <c r="D17" t="inlineStr" s="1">
        <is>
          <t xml:space="preserve">Provide valid and approved evidence for input path 'directEmissions'.</t>
        </is>
      </c>
      <c r="E17" t="inlineStr" s="1">
        <is>
          <t xml:space="preserve">DATA_PREPARER</t>
        </is>
      </c>
      <c r="F17" t="inlineStr" s="7">
        <is>
          <t xml:space="preserve">OPEN</t>
        </is>
      </c>
      <c r="G17" t="inlineStr" s="1">
        <is>
          <t xml:space="preserve">Evidence sufficiency check status for 'directEmissions' is SUPPORTED.</t>
        </is>
      </c>
    </row>
    <row r="18">
      <c r="A18" t="inlineStr" s="1">
        <is>
          <t xml:space="preserve">ACT-FND-EVD-REQ-ELEC-CON-0f05ca12</t>
        </is>
      </c>
      <c r="B18" t="inlineStr" s="1">
        <is>
          <t xml:space="preserve">FND-EVD-REQ-ELEC-CON-0f05ca12</t>
        </is>
      </c>
      <c r="C18" t="inlineStr" s="7">
        <is>
          <t xml:space="preserve">P0</t>
        </is>
      </c>
      <c r="D18" t="inlineStr" s="1">
        <is>
          <t xml:space="preserve">Provide valid and approved evidence for input path 'electricityConsumed'.</t>
        </is>
      </c>
      <c r="E18" t="inlineStr" s="1">
        <is>
          <t xml:space="preserve">DATA_PREPARER</t>
        </is>
      </c>
      <c r="F18" t="inlineStr" s="7">
        <is>
          <t xml:space="preserve">OPEN</t>
        </is>
      </c>
      <c r="G18" t="inlineStr" s="1">
        <is>
          <t xml:space="preserve">Evidence sufficiency check status for 'electricityConsumed' is SUPPORTED.</t>
        </is>
      </c>
    </row>
    <row r="19">
      <c r="A19" t="inlineStr" s="1">
        <is>
          <t xml:space="preserve">ACT-FND-EVD-REQ-ELEC-FAC-4b99605c</t>
        </is>
      </c>
      <c r="B19" t="inlineStr" s="1">
        <is>
          <t xml:space="preserve">FND-EVD-REQ-ELEC-FAC-4b99605c</t>
        </is>
      </c>
      <c r="C19" t="inlineStr" s="7">
        <is>
          <t xml:space="preserve">P0</t>
        </is>
      </c>
      <c r="D19" t="inlineStr" s="1">
        <is>
          <t xml:space="preserve">Provide valid and approved evidence for input path 'gridEmissionFactor'.</t>
        </is>
      </c>
      <c r="E19" t="inlineStr" s="1">
        <is>
          <t xml:space="preserve">DATA_PREPARER</t>
        </is>
      </c>
      <c r="F19" t="inlineStr" s="7">
        <is>
          <t xml:space="preserve">OPEN</t>
        </is>
      </c>
      <c r="G19" t="inlineStr" s="1">
        <is>
          <t xml:space="preserve">Evidence sufficiency check status for 'gridEmissionFactor' is SUPPORTED.</t>
        </is>
      </c>
    </row>
    <row r="20">
      <c r="A20" t="inlineStr" s="1">
        <is>
          <t xml:space="preserve">ACT-FND-EVD-REQ-CP-PAY-0-4d27d543</t>
        </is>
      </c>
      <c r="B20" t="inlineStr" s="1">
        <is>
          <t xml:space="preserve">FND-EVD-REQ-CP-PAY-0-4d27d543</t>
        </is>
      </c>
      <c r="C20" t="inlineStr" s="6">
        <is>
          <t xml:space="preserve">P1</t>
        </is>
      </c>
      <c r="D20" t="inlineStr" s="1">
        <is>
          <t xml:space="preserve">Provide valid and approved evidence for input path 'carbonPriceRecords.0.proofOfPaymentEvidenceId'.</t>
        </is>
      </c>
      <c r="E20" t="inlineStr" s="1">
        <is>
          <t xml:space="preserve">DATA_PREPARER</t>
        </is>
      </c>
      <c r="F20" t="inlineStr" s="7">
        <is>
          <t xml:space="preserve">OPEN</t>
        </is>
      </c>
      <c r="G20" t="inlineStr" s="1">
        <is>
          <t xml:space="preserve">Evidence sufficiency check status for 'carbonPriceRecords.0.proofOfPaymentEvidenceId' is SUPPORTED.</t>
        </is>
      </c>
    </row>
    <row r="21">
      <c r="A21" t="inlineStr" s="1">
        <is>
          <t xml:space="preserve">ACT-FND-PERIOD-FUTURE-END-DATE</t>
        </is>
      </c>
      <c r="B21" t="inlineStr" s="1">
        <is>
          <t xml:space="preserve">FND-PERIOD-FUTURE-END-DATE</t>
        </is>
      </c>
      <c r="C21" t="inlineStr" s="7">
        <is>
          <t xml:space="preserve">P0</t>
        </is>
      </c>
      <c r="D21" t="inlineStr" s="1">
        <is>
          <t xml:space="preserve">Complete the reporting period and refresh annual evidence before independent-verifier handover.</t>
        </is>
      </c>
      <c r="E21" t="inlineStr" s="1">
        <is>
          <t xml:space="preserve">OPERATOR_ADMIN</t>
        </is>
      </c>
      <c r="F21" t="inlineStr" s="7">
        <is>
          <t xml:space="preserve">OPEN</t>
        </is>
      </c>
      <c r="G21" t="inlineStr" s="1">
        <is>
          <t xml:space="preserve">The reporting period has ended and full-year evidence is complete.</t>
        </is>
      </c>
    </row>
  </sheetData>
  <autoFilter ref="A1:G21"/>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landscape" fitToWidth="1" fitToHeight="0" paperSize="9"/>
</worksheet>
</file>

<file path=xl/worksheets/sheet24.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20" customWidth="1"/>
    <col min="2" max="2" width="22" customWidth="1"/>
    <col min="3" max="3" width="24" customWidth="1"/>
    <col min="4" max="4" width="60" customWidth="1"/>
    <col min="5" max="5" width="24" customWidth="1"/>
    <col min="6" max="6" width="48" customWidth="1"/>
    <col min="7" max="7" width="26" customWidth="1"/>
    <col min="8" max="8" width="46" customWidth="1"/>
  </cols>
  <sheetData>
    <row r="1" ht="24" customHeight="1">
      <c r="A1" t="inlineStr" s="3">
        <is>
          <t xml:space="preserve">Requirement</t>
        </is>
      </c>
      <c r="B1" t="inlineStr" s="3">
        <is>
          <t xml:space="preserve">Legal source</t>
        </is>
      </c>
      <c r="C1" t="inlineStr" s="3">
        <is>
          <t xml:space="preserve">Legal location</t>
        </is>
      </c>
      <c r="D1" t="inlineStr" s="3">
        <is>
          <t xml:space="preserve">Requirement text</t>
        </is>
      </c>
      <c r="E1" t="inlineStr" s="3">
        <is>
          <t xml:space="preserve">Owner</t>
        </is>
      </c>
      <c r="F1" t="inlineStr" s="3">
        <is>
          <t xml:space="preserve">Input paths</t>
        </is>
      </c>
      <c r="G1" t="inlineStr" s="3">
        <is>
          <t xml:space="preserve">Status</t>
        </is>
      </c>
      <c r="H1" t="inlineStr" s="3">
        <is>
          <t xml:space="preserve">Reason</t>
        </is>
      </c>
    </row>
    <row r="2">
      <c r="A2" t="inlineStr" s="1">
        <is>
          <t xml:space="preserve">CW-OP-NAME</t>
        </is>
      </c>
      <c r="B2" t="inlineStr" s="1">
        <is>
          <t xml:space="preserve">REG_2023_956</t>
        </is>
      </c>
      <c r="C2" t="inlineStr" s="1">
        <is>
          <t xml:space="preserve">Article 8 &amp; Annex VI.1(a)</t>
        </is>
      </c>
      <c r="D2" t="inlineStr" s="1">
        <is>
          <t xml:space="preserve">Operator Name and Registration Address</t>
        </is>
      </c>
      <c r="E2" t="inlineStr" s="1">
        <is>
          <t xml:space="preserve">OPERATOR</t>
        </is>
      </c>
      <c r="F2" t="inlineStr" s="1">
        <is>
          <t xml:space="preserve">exporterIdentity.legalName | exporterIdentity.address</t>
        </is>
      </c>
      <c r="G2" t="inlineStr" s="6">
        <is>
          <t xml:space="preserve">PARTIAL</t>
        </is>
      </c>
      <c r="H2" t="inlineStr" s="1">
        <is>
          <t xml:space="preserve">EVIDENCE_GAP</t>
        </is>
      </c>
    </row>
    <row r="3">
      <c r="A3" t="inlineStr" s="1">
        <is>
          <t xml:space="preserve">CW-INST-INFO</t>
        </is>
      </c>
      <c r="B3" t="inlineStr" s="1">
        <is>
          <t xml:space="preserve">IMPL_2025_2546</t>
        </is>
      </c>
      <c r="C3" t="inlineStr" s="1">
        <is>
          <t xml:space="preserve">Implementing Regulation (EU) 2025/2546, Article 6 &amp; Annex</t>
        </is>
      </c>
      <c r="D3" t="inlineStr" s="1">
        <is>
          <t xml:space="preserve">Installation Name, address and UN/LOCODE coordinates</t>
        </is>
      </c>
      <c r="E3" t="inlineStr" s="1">
        <is>
          <t xml:space="preserve">OPERATOR</t>
        </is>
      </c>
      <c r="F3" t="inlineStr" s="1">
        <is>
          <t xml:space="preserve">installation.name | installation.country | installation.unloCode</t>
        </is>
      </c>
      <c r="G3" t="inlineStr" s="6">
        <is>
          <t xml:space="preserve">PARTIAL</t>
        </is>
      </c>
      <c r="H3" t="inlineStr" s="1">
        <is>
          <t xml:space="preserve">EVIDENCE_GAP</t>
        </is>
      </c>
    </row>
    <row r="4">
      <c r="A4" t="inlineStr" s="1">
        <is>
          <t xml:space="preserve">CW-REP-PERIOD</t>
        </is>
      </c>
      <c r="B4" t="inlineStr" s="1">
        <is>
          <t xml:space="preserve">REG_2023_956</t>
        </is>
      </c>
      <c r="C4" t="inlineStr" s="1">
        <is>
          <t xml:space="preserve">Article 8</t>
        </is>
      </c>
      <c r="D4" t="inlineStr" s="1">
        <is>
          <t xml:space="preserve">Report ID and Reporting period</t>
        </is>
      </c>
      <c r="E4" t="inlineStr" s="1">
        <is>
          <t xml:space="preserve">CBAMVALID_SYSTEM</t>
        </is>
      </c>
      <c r="F4" t="inlineStr" s="1">
        <is>
          <t xml:space="preserve">reportingPeriod.year | reportingPeriod.quarter</t>
        </is>
      </c>
      <c r="G4" t="inlineStr" s="5">
        <is>
          <t xml:space="preserve">COMPLETE</t>
        </is>
      </c>
      <c r="H4" t="inlineStr" s="1">
        <is>
          <t xml:space="preserve">PASS</t>
        </is>
      </c>
    </row>
    <row r="5">
      <c r="A5" t="inlineStr" s="1">
        <is>
          <t xml:space="preserve">CW-VER-ID</t>
        </is>
      </c>
      <c r="B5" t="inlineStr" s="1">
        <is>
          <t xml:space="preserve">REG_2023_956</t>
        </is>
      </c>
      <c r="C5" t="inlineStr" s="1">
        <is>
          <t xml:space="preserve">Annex VI.2</t>
        </is>
      </c>
      <c r="D5" t="inlineStr" s="1">
        <is>
          <t xml:space="preserve">Verifier identity, address, NAB country, accreditation scope and expiry</t>
        </is>
      </c>
      <c r="E5" t="inlineStr" s="1">
        <is>
          <t xml:space="preserve">INDEPENDENT_VERIFIER</t>
        </is>
      </c>
      <c r="F5" t="inlineStr" s="1">
        <is>
          <t xml:space="preserve"/>
        </is>
      </c>
      <c r="G5" t="inlineStr" s="7">
        <is>
          <t xml:space="preserve">PENDING_EXTERNAL_VERIFIER</t>
        </is>
      </c>
      <c r="H5" t="inlineStr" s="1">
        <is>
          <t xml:space="preserve">PENDING_EXTERNAL_VERIFIER</t>
        </is>
      </c>
    </row>
    <row r="6">
      <c r="A6" t="inlineStr" s="1">
        <is>
          <t xml:space="preserve">CW-VER-VISIT</t>
        </is>
      </c>
      <c r="B6" t="inlineStr" s="1">
        <is>
          <t xml:space="preserve">IMPL_2025_2546</t>
        </is>
      </c>
      <c r="C6" t="inlineStr" s="1">
        <is>
          <t xml:space="preserve">Implementing Regulation (EU) 2025/2546, Article 6(2)</t>
        </is>
      </c>
      <c r="D6" t="inlineStr" s="1">
        <is>
          <t xml:space="preserve">Installation physical visit date or legal waiver justification basis</t>
        </is>
      </c>
      <c r="E6" t="inlineStr" s="1">
        <is>
          <t xml:space="preserve">INDEPENDENT_VERIFIER</t>
        </is>
      </c>
      <c r="F6" t="inlineStr" s="1">
        <is>
          <t xml:space="preserve"/>
        </is>
      </c>
      <c r="G6" t="inlineStr" s="7">
        <is>
          <t xml:space="preserve">PENDING_EXTERNAL_VERIFIER</t>
        </is>
      </c>
      <c r="H6" t="inlineStr" s="1">
        <is>
          <t xml:space="preserve">PENDING_EXTERNAL_VERIFIER</t>
        </is>
      </c>
    </row>
    <row r="7">
      <c r="A7" t="inlineStr" s="1">
        <is>
          <t xml:space="preserve">CW-GOOD-QTY-0</t>
        </is>
      </c>
      <c r="B7" t="inlineStr" s="1">
        <is>
          <t xml:space="preserve">REG_2023_956</t>
        </is>
      </c>
      <c r="C7" t="inlineStr" s="1">
        <is>
          <t xml:space="preserve">Annex VI.1(c)</t>
        </is>
      </c>
      <c r="D7" t="inlineStr" s="1">
        <is>
          <t xml:space="preserve">Production quantity and CN-code verification for Good 1</t>
        </is>
      </c>
      <c r="E7" t="inlineStr" s="1">
        <is>
          <t xml:space="preserve">OPERATOR</t>
        </is>
      </c>
      <c r="F7" t="inlineStr" s="1">
        <is>
          <t xml:space="preserve">goods.0.cnCode | goods.0.productionVolume</t>
        </is>
      </c>
      <c r="G7" t="inlineStr" s="6">
        <is>
          <t xml:space="preserve">PARTIAL</t>
        </is>
      </c>
      <c r="H7" t="inlineStr" s="1">
        <is>
          <t xml:space="preserve">EVIDENCE_GAP</t>
        </is>
      </c>
    </row>
    <row r="8">
      <c r="A8" t="inlineStr" s="1">
        <is>
          <t xml:space="preserve">CW-GOOD-QTY-1</t>
        </is>
      </c>
      <c r="B8" t="inlineStr" s="1">
        <is>
          <t xml:space="preserve">REG_2023_956</t>
        </is>
      </c>
      <c r="C8" t="inlineStr" s="1">
        <is>
          <t xml:space="preserve">Annex VI.1(c)</t>
        </is>
      </c>
      <c r="D8" t="inlineStr" s="1">
        <is>
          <t xml:space="preserve">Production quantity and CN-code verification for Good 2</t>
        </is>
      </c>
      <c r="E8" t="inlineStr" s="1">
        <is>
          <t xml:space="preserve">OPERATOR</t>
        </is>
      </c>
      <c r="F8" t="inlineStr" s="1">
        <is>
          <t xml:space="preserve">goods.1.cnCode | goods.1.productionVolume</t>
        </is>
      </c>
      <c r="G8" t="inlineStr" s="6">
        <is>
          <t xml:space="preserve">PARTIAL</t>
        </is>
      </c>
      <c r="H8" t="inlineStr" s="1">
        <is>
          <t xml:space="preserve">EVIDENCE_GAP</t>
        </is>
      </c>
    </row>
    <row r="9">
      <c r="A9" t="inlineStr" s="1">
        <is>
          <t xml:space="preserve">CW-DIR-EM</t>
        </is>
      </c>
      <c r="B9" t="inlineStr" s="1">
        <is>
          <t xml:space="preserve">REG_2023_956</t>
        </is>
      </c>
      <c r="C9" t="inlineStr" s="1">
        <is>
          <t xml:space="preserve">Annex VI.1(d)</t>
        </is>
      </c>
      <c r="D9" t="inlineStr" s="1">
        <is>
          <t xml:space="preserve">Installation direct emissions monitoring plan data and methodology</t>
        </is>
      </c>
      <c r="E9" t="inlineStr" s="1">
        <is>
          <t xml:space="preserve">OPERATOR</t>
        </is>
      </c>
      <c r="F9" t="inlineStr" s="1">
        <is>
          <t xml:space="preserve">directEmissions</t>
        </is>
      </c>
      <c r="G9" t="inlineStr" s="6">
        <is>
          <t xml:space="preserve">PARTIAL</t>
        </is>
      </c>
      <c r="H9" t="inlineStr" s="1">
        <is>
          <t xml:space="preserve">EVIDENCE_GAP</t>
        </is>
      </c>
    </row>
    <row r="10">
      <c r="A10" t="inlineStr" s="1">
        <is>
          <t xml:space="preserve">CW-ALLOC-METHOD</t>
        </is>
      </c>
      <c r="B10" t="inlineStr" s="1">
        <is>
          <t xml:space="preserve">IMPL_2025_2547</t>
        </is>
      </c>
      <c r="C10" t="inlineStr" s="1">
        <is>
          <t xml:space="preserve">Implementing Regulation (EU) 2025/2547, Article 6 &amp; Annex III</t>
        </is>
      </c>
      <c r="D10" t="inlineStr" s="1">
        <is>
          <t xml:space="preserve">Emissions attribution methodology and allocation share factors</t>
        </is>
      </c>
      <c r="E10" t="inlineStr" s="1">
        <is>
          <t xml:space="preserve">OPERATOR</t>
        </is>
      </c>
      <c r="F10" t="inlineStr" s="1">
        <is>
          <t xml:space="preserve">goods.0.allocationShare | goods.1.allocationShare</t>
        </is>
      </c>
      <c r="G10" t="inlineStr" s="6">
        <is>
          <t xml:space="preserve">PARTIAL</t>
        </is>
      </c>
      <c r="H10" t="inlineStr" s="1">
        <is>
          <t xml:space="preserve">PASS</t>
        </is>
      </c>
    </row>
    <row r="11">
      <c r="A11" t="inlineStr" s="1">
        <is>
          <t xml:space="preserve">CW-NON-ASSOC</t>
        </is>
      </c>
      <c r="B11" t="inlineStr" s="1">
        <is>
          <t xml:space="preserve">IMPL_2025_2547</t>
        </is>
      </c>
      <c r="C11" t="inlineStr" s="1">
        <is>
          <t xml:space="preserve">Implementing Regulation (EU) 2025/2547, Annex II</t>
        </is>
      </c>
      <c r="D11" t="inlineStr" s="1">
        <is>
          <t xml:space="preserve">Identification of non-associated goods/emissions/energy flows</t>
        </is>
      </c>
      <c r="E11" t="inlineStr" s="1">
        <is>
          <t xml:space="preserve">OPERATOR</t>
        </is>
      </c>
      <c r="F11" t="inlineStr" s="1">
        <is>
          <t xml:space="preserve"/>
        </is>
      </c>
      <c r="G11" t="inlineStr" s="5">
        <is>
          <t xml:space="preserve">COMPLETE</t>
        </is>
      </c>
      <c r="H11" t="inlineStr" s="1">
        <is>
          <t xml:space="preserve">PASS</t>
        </is>
      </c>
    </row>
    <row r="12">
      <c r="A12" t="inlineStr" s="1">
        <is>
          <t xml:space="preserve">CW-PRECURSOR-INST</t>
        </is>
      </c>
      <c r="B12" t="inlineStr" s="1">
        <is>
          <t xml:space="preserve">IMPL_2025_2547</t>
        </is>
      </c>
      <c r="C12" t="inlineStr" s="1">
        <is>
          <t xml:space="preserve">Implementing Regulation (EU) 2025/2547, Article 5 &amp; Annex II, point E</t>
        </is>
      </c>
      <c r="D12" t="inlineStr" s="1">
        <is>
          <t xml:space="preserve">Precursor-producing installation identity, country and registration when actual emissions are used</t>
        </is>
      </c>
      <c r="E12" t="inlineStr" s="1">
        <is>
          <t xml:space="preserve">OPERATOR</t>
        </is>
      </c>
      <c r="F12" t="inlineStr" s="1">
        <is>
          <t xml:space="preserve"/>
        </is>
      </c>
      <c r="G12" t="inlineStr" s="7">
        <is>
          <t xml:space="preserve">NOT_APPLICABLE</t>
        </is>
      </c>
      <c r="H12" t="inlineStr" s="1">
        <is>
          <t xml:space="preserve">PASS</t>
        </is>
      </c>
    </row>
    <row r="13">
      <c r="A13" t="inlineStr" s="1">
        <is>
          <t xml:space="preserve">CW-VER-MISSTATEMENTS</t>
        </is>
      </c>
      <c r="B13" t="inlineStr" s="1">
        <is>
          <t xml:space="preserve">REG_2023_956</t>
        </is>
      </c>
      <c r="C13" t="inlineStr" s="1">
        <is>
          <t xml:space="preserve">Annex VI.3</t>
        </is>
      </c>
      <c r="D13" t="inlineStr" s="1">
        <is>
          <t xml:space="preserve">Verifier audit trace of material misstatements detected and corrected during verification</t>
        </is>
      </c>
      <c r="E13" t="inlineStr" s="1">
        <is>
          <t xml:space="preserve">INDEPENDENT_VERIFIER</t>
        </is>
      </c>
      <c r="F13" t="inlineStr" s="1">
        <is>
          <t xml:space="preserve"/>
        </is>
      </c>
      <c r="G13" t="inlineStr" s="7">
        <is>
          <t xml:space="preserve">PENDING_EXTERNAL_VERIFIER</t>
        </is>
      </c>
      <c r="H13" t="inlineStr" s="1">
        <is>
          <t xml:space="preserve">PENDING_EXTERNAL_VERIFIER</t>
        </is>
      </c>
    </row>
    <row r="14">
      <c r="A14" t="inlineStr" s="1">
        <is>
          <t xml:space="preserve">CW-VER-NONCONFORMITIES</t>
        </is>
      </c>
      <c r="B14" t="inlineStr" s="1">
        <is>
          <t xml:space="preserve">REG_2023_956</t>
        </is>
      </c>
      <c r="C14" t="inlineStr" s="1">
        <is>
          <t xml:space="preserve">Annex VI.3</t>
        </is>
      </c>
      <c r="D14" t="inlineStr" s="1">
        <is>
          <t xml:space="preserve">Verifier audit trace of non-conformities with monitoring rules detected and corrected</t>
        </is>
      </c>
      <c r="E14" t="inlineStr" s="1">
        <is>
          <t xml:space="preserve">INDEPENDENT_VERIFIER</t>
        </is>
      </c>
      <c r="F14" t="inlineStr" s="1">
        <is>
          <t xml:space="preserve"/>
        </is>
      </c>
      <c r="G14" t="inlineStr" s="7">
        <is>
          <t xml:space="preserve">PENDING_EXTERNAL_VERIFIER</t>
        </is>
      </c>
      <c r="H14" t="inlineStr" s="1">
        <is>
          <t xml:space="preserve">PENDING_EXTERNAL_VERIFIER</t>
        </is>
      </c>
    </row>
    <row r="15">
      <c r="A15" t="inlineStr" s="1">
        <is>
          <t xml:space="preserve">CW-VER-OPINION</t>
        </is>
      </c>
      <c r="B15" t="inlineStr" s="1">
        <is>
          <t xml:space="preserve">REG_2023_956</t>
        </is>
      </c>
      <c r="C15" t="inlineStr" s="1">
        <is>
          <t xml:space="preserve">Annex VI.4</t>
        </is>
      </c>
      <c r="D15" t="inlineStr" s="1">
        <is>
          <t xml:space="preserve">Verifier final reasonable-assurance opinion statement and sign-off</t>
        </is>
      </c>
      <c r="E15" t="inlineStr" s="1">
        <is>
          <t xml:space="preserve">INDEPENDENT_VERIFIER</t>
        </is>
      </c>
      <c r="F15" t="inlineStr" s="1">
        <is>
          <t xml:space="preserve"/>
        </is>
      </c>
      <c r="G15" t="inlineStr" s="7">
        <is>
          <t xml:space="preserve">PENDING_EXTERNAL_VERIFIER</t>
        </is>
      </c>
      <c r="H15" t="inlineStr" s="1">
        <is>
          <t xml:space="preserve">PENDING_EXTERNAL_VERIFIER</t>
        </is>
      </c>
    </row>
  </sheetData>
  <autoFilter ref="A1:H15"/>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landscape" fitToWidth="1" fitToHeight="0" paperSize="9"/>
</worksheet>
</file>

<file path=xl/worksheets/sheet25.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26" customWidth="1"/>
    <col min="2" max="2" width="20" customWidth="1"/>
    <col min="3" max="3" width="40" customWidth="1"/>
    <col min="4" max="4" width="44" customWidth="1"/>
    <col min="5" max="5" width="40" customWidth="1"/>
    <col min="6" max="6" width="34" customWidth="1"/>
    <col min="7" max="7" width="22" customWidth="1"/>
    <col min="8" max="8" width="44" customWidth="1"/>
    <col min="9" max="9" width="60" customWidth="1"/>
  </cols>
  <sheetData>
    <row r="1" ht="24" customHeight="1">
      <c r="A1" t="inlineStr" s="3">
        <is>
          <t xml:space="preserve">Registry field ID</t>
        </is>
      </c>
      <c r="B1" t="inlineStr" s="3">
        <is>
          <t xml:space="preserve">Section</t>
        </is>
      </c>
      <c r="C1" t="inlineStr" s="3">
        <is>
          <t xml:space="preserve">Legal basis</t>
        </is>
      </c>
      <c r="D1" t="inlineStr" s="3">
        <is>
          <t xml:space="preserve">Source path</t>
        </is>
      </c>
      <c r="E1" t="inlineStr" s="3">
        <is>
          <t xml:space="preserve">Value</t>
        </is>
      </c>
      <c r="F1" t="inlineStr" s="3">
        <is>
          <t xml:space="preserve">Owner</t>
        </is>
      </c>
      <c r="G1" t="inlineStr" s="3">
        <is>
          <t xml:space="preserve">Status</t>
        </is>
      </c>
      <c r="H1" t="inlineStr" s="3">
        <is>
          <t xml:space="preserve">Evidence IDs</t>
        </is>
      </c>
      <c r="I1" t="inlineStr" s="3">
        <is>
          <t xml:space="preserve">Validation errors</t>
        </is>
      </c>
    </row>
    <row r="2">
      <c r="A2" t="inlineStr" s="1">
        <is>
          <t xml:space="preserve">REG-OP-LEGAL-NAME</t>
        </is>
      </c>
      <c r="B2" t="inlineStr" s="1">
        <is>
          <t xml:space="preserve">Operator</t>
        </is>
      </c>
      <c r="C2" t="inlineStr" s="1">
        <is>
          <t xml:space="preserve">Regulation (EU) 2023/956 Article 8 and Annex VI.1(a)</t>
        </is>
      </c>
      <c r="D2" t="inlineStr" s="1">
        <is>
          <t xml:space="preserve">exporterIdentity.legalName.value</t>
        </is>
      </c>
      <c r="E2" t="inlineStr" s="1">
        <is>
          <t xml:space="preserve">Verified Steel Operator A.S.</t>
        </is>
      </c>
      <c r="F2" t="inlineStr" s="1">
        <is>
          <t xml:space="preserve">OPERATOR</t>
        </is>
      </c>
      <c r="G2" t="inlineStr" s="5">
        <is>
          <t xml:space="preserve">COMPLETE_OPERATOR</t>
        </is>
      </c>
      <c r="H2" t="inlineStr" s="1">
        <is>
          <t xml:space="preserve">11111111-1111-4111-8111-222222222222</t>
        </is>
      </c>
      <c r="I2" t="inlineStr" s="1">
        <is>
          <t xml:space="preserve">MATERIAL_EVIDENCE_QUALITY_D_OR_E | SINGLE_SOURCE_CONCENTRATION | EVIDENCE_DIVERSITY_INSUFFICIENT</t>
        </is>
      </c>
    </row>
    <row r="3">
      <c r="A3" t="inlineStr" s="1">
        <is>
          <t xml:space="preserve">REG-OP-REG-NO</t>
        </is>
      </c>
      <c r="B3" t="inlineStr" s="1">
        <is>
          <t xml:space="preserve">Operator</t>
        </is>
      </c>
      <c r="C3" t="inlineStr" s="1">
        <is>
          <t xml:space="preserve">Regulation (EU) 2023/956 Article 8 and Annex VI.1(a)</t>
        </is>
      </c>
      <c r="D3" t="inlineStr" s="1">
        <is>
          <t xml:space="preserve">exporterIdentity.registrationNumber.value</t>
        </is>
      </c>
      <c r="E3" t="inlineStr" s="1">
        <is>
          <t xml:space="preserve"/>
        </is>
      </c>
      <c r="F3" t="inlineStr" s="1">
        <is>
          <t xml:space="preserve">OPERATOR</t>
        </is>
      </c>
      <c r="G3" t="inlineStr" s="7">
        <is>
          <t xml:space="preserve">MISSING_OPERATOR</t>
        </is>
      </c>
      <c r="H3" t="inlineStr" s="1">
        <is>
          <t xml:space="preserve">11111111-1111-4111-8111-222222222222</t>
        </is>
      </c>
      <c r="I3" t="inlineStr" s="1">
        <is>
          <t xml:space="preserve"/>
        </is>
      </c>
    </row>
    <row r="4">
      <c r="A4" t="inlineStr" s="1">
        <is>
          <t xml:space="preserve">REG-OP-ADDRESS</t>
        </is>
      </c>
      <c r="B4" t="inlineStr" s="1">
        <is>
          <t xml:space="preserve">Operator</t>
        </is>
      </c>
      <c r="C4" t="inlineStr" s="1">
        <is>
          <t xml:space="preserve">Regulation (EU) 2023/956 Article 8 and Annex VI.1(a)</t>
        </is>
      </c>
      <c r="D4" t="inlineStr" s="1">
        <is>
          <t xml:space="preserve">exporterIdentity.address.value</t>
        </is>
      </c>
      <c r="E4" t="inlineStr" s="1">
        <is>
          <t xml:space="preserve">Iskenderun, Turkiye</t>
        </is>
      </c>
      <c r="F4" t="inlineStr" s="1">
        <is>
          <t xml:space="preserve">OPERATOR</t>
        </is>
      </c>
      <c r="G4" t="inlineStr" s="5">
        <is>
          <t xml:space="preserve">COMPLETE_OPERATOR</t>
        </is>
      </c>
      <c r="H4" t="inlineStr" s="1">
        <is>
          <t xml:space="preserve">11111111-1111-4111-8111-222222222222</t>
        </is>
      </c>
      <c r="I4" t="inlineStr" s="1">
        <is>
          <t xml:space="preserve"/>
        </is>
      </c>
    </row>
    <row r="5">
      <c r="A5" t="inlineStr" s="1">
        <is>
          <t xml:space="preserve">REG-OP-COUNTRY</t>
        </is>
      </c>
      <c r="B5" t="inlineStr" s="1">
        <is>
          <t xml:space="preserve">Operator</t>
        </is>
      </c>
      <c r="C5" t="inlineStr" s="1">
        <is>
          <t xml:space="preserve">Regulation (EU) 2023/956 Article 8 and Annex VI.1(a)</t>
        </is>
      </c>
      <c r="D5" t="inlineStr" s="1">
        <is>
          <t xml:space="preserve">exporterIdentity.exporterCountry.value</t>
        </is>
      </c>
      <c r="E5" t="inlineStr" s="1">
        <is>
          <t xml:space="preserve"/>
        </is>
      </c>
      <c r="F5" t="inlineStr" s="1">
        <is>
          <t xml:space="preserve">OPERATOR</t>
        </is>
      </c>
      <c r="G5" t="inlineStr" s="7">
        <is>
          <t xml:space="preserve">MISSING_OPERATOR</t>
        </is>
      </c>
      <c r="H5" t="inlineStr" s="1">
        <is>
          <t xml:space="preserve">11111111-1111-4111-8111-222222222222</t>
        </is>
      </c>
      <c r="I5" t="inlineStr" s="1">
        <is>
          <t xml:space="preserve"/>
        </is>
      </c>
    </row>
    <row r="6">
      <c r="A6" t="inlineStr" s="1">
        <is>
          <t xml:space="preserve">REG-OP-CONTACT-EMAIL</t>
        </is>
      </c>
      <c r="B6" t="inlineStr" s="1">
        <is>
          <t xml:space="preserve">Operator</t>
        </is>
      </c>
      <c r="C6" t="inlineStr" s="1">
        <is>
          <t xml:space="preserve">Regulation (EU) 2023/956 Article 8 and Annex VI.1(a)</t>
        </is>
      </c>
      <c r="D6" t="inlineStr" s="1">
        <is>
          <t xml:space="preserve">exporterIdentity.contactEmail.value</t>
        </is>
      </c>
      <c r="E6" t="inlineStr" s="1">
        <is>
          <t xml:space="preserve"/>
        </is>
      </c>
      <c r="F6" t="inlineStr" s="1">
        <is>
          <t xml:space="preserve">OPERATOR</t>
        </is>
      </c>
      <c r="G6" t="inlineStr" s="7">
        <is>
          <t xml:space="preserve">MISSING_OPERATOR</t>
        </is>
      </c>
      <c r="H6" t="inlineStr" s="1">
        <is>
          <t xml:space="preserve"/>
        </is>
      </c>
      <c r="I6" t="inlineStr" s="1">
        <is>
          <t xml:space="preserve"/>
        </is>
      </c>
    </row>
    <row r="7">
      <c r="A7" t="inlineStr" s="1">
        <is>
          <t xml:space="preserve">REG-INST-NAME</t>
        </is>
      </c>
      <c r="B7" t="inlineStr" s="1">
        <is>
          <t xml:space="preserve">Installation</t>
        </is>
      </c>
      <c r="C7" t="inlineStr" s="1">
        <is>
          <t xml:space="preserve">Implementing Regulation (EU) 2025/2546 Article 6 and Annex</t>
        </is>
      </c>
      <c r="D7" t="inlineStr" s="1">
        <is>
          <t xml:space="preserve">installation.name.value</t>
        </is>
      </c>
      <c r="E7" t="inlineStr" s="1">
        <is>
          <t xml:space="preserve">Verified Integrated Steel Installation</t>
        </is>
      </c>
      <c r="F7" t="inlineStr" s="1">
        <is>
          <t xml:space="preserve">OPERATOR</t>
        </is>
      </c>
      <c r="G7" t="inlineStr" s="5">
        <is>
          <t xml:space="preserve">COMPLETE_OPERATOR</t>
        </is>
      </c>
      <c r="H7" t="inlineStr" s="1">
        <is>
          <t xml:space="preserve">11111111-1111-4111-8111-222222222222</t>
        </is>
      </c>
      <c r="I7" t="inlineStr" s="1">
        <is>
          <t xml:space="preserve">MATERIAL_EVIDENCE_QUALITY_D_OR_E | SINGLE_SOURCE_CONCENTRATION | EVIDENCE_DIVERSITY_INSUFFICIENT</t>
        </is>
      </c>
    </row>
    <row r="8">
      <c r="A8" t="inlineStr" s="1">
        <is>
          <t xml:space="preserve">REG-INST-REGISTRY-ID</t>
        </is>
      </c>
      <c r="B8" t="inlineStr" s="1">
        <is>
          <t xml:space="preserve">Installation</t>
        </is>
      </c>
      <c r="C8" t="inlineStr" s="1">
        <is>
          <t xml:space="preserve">Implementing Regulation (EU) 2025/2546 Article 6 and Annex</t>
        </is>
      </c>
      <c r="D8" t="inlineStr" s="1">
        <is>
          <t xml:space="preserve">installation.registryInstallationId.value</t>
        </is>
      </c>
      <c r="E8" t="inlineStr" s="1">
        <is>
          <t xml:space="preserve"/>
        </is>
      </c>
      <c r="F8" t="inlineStr" s="1">
        <is>
          <t xml:space="preserve">OPERATOR</t>
        </is>
      </c>
      <c r="G8" t="inlineStr" s="7">
        <is>
          <t xml:space="preserve">MISSING_OPERATOR</t>
        </is>
      </c>
      <c r="H8" t="inlineStr" s="1">
        <is>
          <t xml:space="preserve">11111111-1111-4111-8111-222222222222</t>
        </is>
      </c>
      <c r="I8" t="inlineStr" s="1">
        <is>
          <t xml:space="preserve"/>
        </is>
      </c>
    </row>
    <row r="9">
      <c r="A9" t="inlineStr" s="1">
        <is>
          <t xml:space="preserve">REG-INST-UNLOCODE</t>
        </is>
      </c>
      <c r="B9" t="inlineStr" s="1">
        <is>
          <t xml:space="preserve">Installation</t>
        </is>
      </c>
      <c r="C9" t="inlineStr" s="1">
        <is>
          <t xml:space="preserve">Implementing Regulation (EU) 2025/2546 Article 6 and Annex</t>
        </is>
      </c>
      <c r="D9" t="inlineStr" s="1">
        <is>
          <t xml:space="preserve">installation.unloCode.value</t>
        </is>
      </c>
      <c r="E9" t="inlineStr" s="1">
        <is>
          <t xml:space="preserve">TRISK</t>
        </is>
      </c>
      <c r="F9" t="inlineStr" s="1">
        <is>
          <t xml:space="preserve">OPERATOR</t>
        </is>
      </c>
      <c r="G9" t="inlineStr" s="5">
        <is>
          <t xml:space="preserve">COMPLETE_OPERATOR</t>
        </is>
      </c>
      <c r="H9" t="inlineStr" s="1">
        <is>
          <t xml:space="preserve">11111111-1111-4111-8111-222222222222</t>
        </is>
      </c>
      <c r="I9" t="inlineStr" s="1">
        <is>
          <t xml:space="preserve"/>
        </is>
      </c>
    </row>
    <row r="10">
      <c r="A10" t="inlineStr" s="1">
        <is>
          <t xml:space="preserve">REG-INST-ADDRESS</t>
        </is>
      </c>
      <c r="B10" t="inlineStr" s="1">
        <is>
          <t xml:space="preserve">Installation</t>
        </is>
      </c>
      <c r="C10" t="inlineStr" s="1">
        <is>
          <t xml:space="preserve">Implementing Regulation (EU) 2025/2546 Article 6 and Annex</t>
        </is>
      </c>
      <c r="D10" t="inlineStr" s="1">
        <is>
          <t xml:space="preserve">installation.address.value</t>
        </is>
      </c>
      <c r="E10" t="inlineStr" s="1">
        <is>
          <t xml:space="preserve"/>
        </is>
      </c>
      <c r="F10" t="inlineStr" s="1">
        <is>
          <t xml:space="preserve">OPERATOR</t>
        </is>
      </c>
      <c r="G10" t="inlineStr" s="7">
        <is>
          <t xml:space="preserve">MISSING_OPERATOR</t>
        </is>
      </c>
      <c r="H10" t="inlineStr" s="1">
        <is>
          <t xml:space="preserve"/>
        </is>
      </c>
      <c r="I10" t="inlineStr" s="1">
        <is>
          <t xml:space="preserve"/>
        </is>
      </c>
    </row>
    <row r="11">
      <c r="A11" t="inlineStr" s="1">
        <is>
          <t xml:space="preserve">REG-INST-LATITUDE</t>
        </is>
      </c>
      <c r="B11" t="inlineStr" s="1">
        <is>
          <t xml:space="preserve">Installation</t>
        </is>
      </c>
      <c r="C11" t="inlineStr" s="1">
        <is>
          <t xml:space="preserve">Implementing Regulation (EU) 2025/2546 Article 6 and Annex</t>
        </is>
      </c>
      <c r="D11" t="inlineStr" s="1">
        <is>
          <t xml:space="preserve">installation.latitude.value</t>
        </is>
      </c>
      <c r="E11" t="inlineStr" s="1">
        <is>
          <t xml:space="preserve"/>
        </is>
      </c>
      <c r="F11" t="inlineStr" s="1">
        <is>
          <t xml:space="preserve">OPERATOR</t>
        </is>
      </c>
      <c r="G11" t="inlineStr" s="7">
        <is>
          <t xml:space="preserve">MISSING_OPERATOR</t>
        </is>
      </c>
      <c r="H11" t="inlineStr" s="1">
        <is>
          <t xml:space="preserve"/>
        </is>
      </c>
      <c r="I11" t="inlineStr" s="1">
        <is>
          <t xml:space="preserve"/>
        </is>
      </c>
    </row>
    <row r="12">
      <c r="A12" t="inlineStr" s="1">
        <is>
          <t xml:space="preserve">REG-INST-LONGITUDE</t>
        </is>
      </c>
      <c r="B12" t="inlineStr" s="1">
        <is>
          <t xml:space="preserve">Installation</t>
        </is>
      </c>
      <c r="C12" t="inlineStr" s="1">
        <is>
          <t xml:space="preserve">Implementing Regulation (EU) 2025/2546 Article 6 and Annex</t>
        </is>
      </c>
      <c r="D12" t="inlineStr" s="1">
        <is>
          <t xml:space="preserve">installation.longitude.value</t>
        </is>
      </c>
      <c r="E12" t="inlineStr" s="1">
        <is>
          <t xml:space="preserve"/>
        </is>
      </c>
      <c r="F12" t="inlineStr" s="1">
        <is>
          <t xml:space="preserve">OPERATOR</t>
        </is>
      </c>
      <c r="G12" t="inlineStr" s="7">
        <is>
          <t xml:space="preserve">MISSING_OPERATOR</t>
        </is>
      </c>
      <c r="H12" t="inlineStr" s="1">
        <is>
          <t xml:space="preserve"/>
        </is>
      </c>
      <c r="I12" t="inlineStr" s="1">
        <is>
          <t xml:space="preserve"/>
        </is>
      </c>
    </row>
    <row r="13">
      <c r="A13" t="inlineStr" s="1">
        <is>
          <t xml:space="preserve">REG-INST-COUNTRY</t>
        </is>
      </c>
      <c r="B13" t="inlineStr" s="1">
        <is>
          <t xml:space="preserve">Installation</t>
        </is>
      </c>
      <c r="C13" t="inlineStr" s="1">
        <is>
          <t xml:space="preserve">Implementing Regulation (EU) 2025/2546 Article 6 and Annex</t>
        </is>
      </c>
      <c r="D13" t="inlineStr" s="1">
        <is>
          <t xml:space="preserve">installation.country.value</t>
        </is>
      </c>
      <c r="E13" t="inlineStr" s="1">
        <is>
          <t xml:space="preserve">TR</t>
        </is>
      </c>
      <c r="F13" t="inlineStr" s="1">
        <is>
          <t xml:space="preserve">OPERATOR</t>
        </is>
      </c>
      <c r="G13" t="inlineStr" s="5">
        <is>
          <t xml:space="preserve">COMPLETE_OPERATOR</t>
        </is>
      </c>
      <c r="H13" t="inlineStr" s="1">
        <is>
          <t xml:space="preserve">11111111-1111-4111-8111-222222222222</t>
        </is>
      </c>
      <c r="I13" t="inlineStr" s="1">
        <is>
          <t xml:space="preserve"/>
        </is>
      </c>
    </row>
    <row r="14">
      <c r="A14" t="inlineStr" s="1">
        <is>
          <t xml:space="preserve">REG-INST-PRODUCTION-ROUTE</t>
        </is>
      </c>
      <c r="B14" t="inlineStr" s="1">
        <is>
          <t xml:space="preserve">Installation</t>
        </is>
      </c>
      <c r="C14" t="inlineStr" s="1">
        <is>
          <t xml:space="preserve">Implementing Regulation (EU) 2025/2546 Article 6 and Annex</t>
        </is>
      </c>
      <c r="D14" t="inlineStr" s="1">
        <is>
          <t xml:space="preserve">installation.productionRoute.value</t>
        </is>
      </c>
      <c r="E14" t="inlineStr" s="1">
        <is>
          <t xml:space="preserve">Blast Furnace Route (BF-BOF)</t>
        </is>
      </c>
      <c r="F14" t="inlineStr" s="1">
        <is>
          <t xml:space="preserve">OPERATOR</t>
        </is>
      </c>
      <c r="G14" t="inlineStr" s="5">
        <is>
          <t xml:space="preserve">COMPLETE_OPERATOR</t>
        </is>
      </c>
      <c r="H14" t="inlineStr" s="1">
        <is>
          <t xml:space="preserve">11111111-1111-4111-8111-222222222222</t>
        </is>
      </c>
      <c r="I14" t="inlineStr" s="1">
        <is>
          <t xml:space="preserve"/>
        </is>
      </c>
    </row>
    <row r="15">
      <c r="A15" t="inlineStr" s="1">
        <is>
          <t xml:space="preserve">REG-INST-SYSTEM-BOUNDARY</t>
        </is>
      </c>
      <c r="B15" t="inlineStr" s="1">
        <is>
          <t xml:space="preserve">Installation</t>
        </is>
      </c>
      <c r="C15" t="inlineStr" s="1">
        <is>
          <t xml:space="preserve">Implementing Regulation (EU) 2025/2546 Article 6 and Annex</t>
        </is>
      </c>
      <c r="D15" t="inlineStr" s="1">
        <is>
          <t xml:space="preserve">installation.systemBoundaries</t>
        </is>
      </c>
      <c r="E15" t="inlineStr" s="1">
        <is>
          <t xml:space="preserve">Coke preparation, sinter plant, blast furnace, basic oxygen furnace, casting and finishing operations within the controlled installation boundary.</t>
        </is>
      </c>
      <c r="F15" t="inlineStr" s="1">
        <is>
          <t xml:space="preserve">OPERATOR</t>
        </is>
      </c>
      <c r="G15" t="inlineStr" s="5">
        <is>
          <t xml:space="preserve">COMPLETE_OPERATOR</t>
        </is>
      </c>
      <c r="H15" t="inlineStr" s="1">
        <is>
          <t xml:space="preserve"/>
        </is>
      </c>
      <c r="I15" t="inlineStr" s="1">
        <is>
          <t xml:space="preserve"/>
        </is>
      </c>
    </row>
    <row r="16">
      <c r="A16" t="inlineStr" s="1">
        <is>
          <t xml:space="preserve">REG-INST-EXCLUDED-PROCESSES</t>
        </is>
      </c>
      <c r="B16" t="inlineStr" s="1">
        <is>
          <t xml:space="preserve">Installation</t>
        </is>
      </c>
      <c r="C16" t="inlineStr" s="1">
        <is>
          <t xml:space="preserve">Implementing Regulation (EU) 2025/2546 Article 6 and Annex</t>
        </is>
      </c>
      <c r="D16" t="inlineStr" s="1">
        <is>
          <t xml:space="preserve">installation.excludedProcesses</t>
        </is>
      </c>
      <c r="E16" t="inlineStr" s="1">
        <is>
          <t xml:space="preserve"/>
        </is>
      </c>
      <c r="F16" t="inlineStr" s="1">
        <is>
          <t xml:space="preserve">OPERATOR</t>
        </is>
      </c>
      <c r="G16" t="inlineStr" s="7">
        <is>
          <t xml:space="preserve">MISSING_OPERATOR</t>
        </is>
      </c>
      <c r="H16" t="inlineStr" s="1">
        <is>
          <t xml:space="preserve"/>
        </is>
      </c>
      <c r="I16" t="inlineStr" s="1">
        <is>
          <t xml:space="preserve"/>
        </is>
      </c>
    </row>
    <row r="17">
      <c r="A17" t="inlineStr" s="1">
        <is>
          <t xml:space="preserve">REG-INST-MONITORING-PLAN</t>
        </is>
      </c>
      <c r="B17" t="inlineStr" s="1">
        <is>
          <t xml:space="preserve">Installation</t>
        </is>
      </c>
      <c r="C17" t="inlineStr" s="1">
        <is>
          <t xml:space="preserve">Implementing Regulation (EU) 2025/2546 Article 6 and Annex</t>
        </is>
      </c>
      <c r="D17" t="inlineStr" s="1">
        <is>
          <t xml:space="preserve">installation.monitoringPlanId.value</t>
        </is>
      </c>
      <c r="E17" t="inlineStr" s="1">
        <is>
          <t xml:space="preserve"/>
        </is>
      </c>
      <c r="F17" t="inlineStr" s="1">
        <is>
          <t xml:space="preserve">OPERATOR</t>
        </is>
      </c>
      <c r="G17" t="inlineStr" s="7">
        <is>
          <t xml:space="preserve">MISSING_OPERATOR</t>
        </is>
      </c>
      <c r="H17" t="inlineStr" s="1">
        <is>
          <t xml:space="preserve"/>
        </is>
      </c>
      <c r="I17" t="inlineStr" s="1">
        <is>
          <t xml:space="preserve"/>
        </is>
      </c>
    </row>
    <row r="18">
      <c r="A18" t="inlineStr" s="1">
        <is>
          <t xml:space="preserve">REG-PERIOD-YEAR</t>
        </is>
      </c>
      <c r="B18" t="inlineStr" s="1">
        <is>
          <t xml:space="preserve">Reporting period</t>
        </is>
      </c>
      <c r="C18" t="inlineStr" s="1">
        <is>
          <t xml:space="preserve">Regulation (EU) 2023/956 Article 8</t>
        </is>
      </c>
      <c r="D18" t="inlineStr" s="1">
        <is>
          <t xml:space="preserve">reportingPeriod.year.value</t>
        </is>
      </c>
      <c r="E18" t="inlineStr" s="1">
        <is>
          <t xml:space="preserve">2026</t>
        </is>
      </c>
      <c r="F18" t="inlineStr" s="1">
        <is>
          <t xml:space="preserve">CBAMVALID_SYSTEM</t>
        </is>
      </c>
      <c r="G18" t="inlineStr" s="5">
        <is>
          <t xml:space="preserve">COMPLETE_OPERATOR</t>
        </is>
      </c>
      <c r="H18" t="inlineStr" s="1">
        <is>
          <t xml:space="preserve"/>
        </is>
      </c>
      <c r="I18" t="inlineStr" s="1">
        <is>
          <t xml:space="preserve"/>
        </is>
      </c>
    </row>
    <row r="19">
      <c r="A19" t="inlineStr" s="1">
        <is>
          <t xml:space="preserve">REG-PERIOD-START</t>
        </is>
      </c>
      <c r="B19" t="inlineStr" s="1">
        <is>
          <t xml:space="preserve">Reporting period</t>
        </is>
      </c>
      <c r="C19" t="inlineStr" s="1">
        <is>
          <t xml:space="preserve">Regulation (EU) 2023/956 Article 8</t>
        </is>
      </c>
      <c r="D19" t="inlineStr" s="1">
        <is>
          <t xml:space="preserve">reportingPeriod.startDate.value</t>
        </is>
      </c>
      <c r="E19" t="inlineStr" s="1">
        <is>
          <t xml:space="preserve">2026-01-01</t>
        </is>
      </c>
      <c r="F19" t="inlineStr" s="1">
        <is>
          <t xml:space="preserve">CBAMVALID_SYSTEM</t>
        </is>
      </c>
      <c r="G19" t="inlineStr" s="5">
        <is>
          <t xml:space="preserve">COMPLETE_OPERATOR</t>
        </is>
      </c>
      <c r="H19" t="inlineStr" s="1">
        <is>
          <t xml:space="preserve"/>
        </is>
      </c>
      <c r="I19" t="inlineStr" s="1">
        <is>
          <t xml:space="preserve"/>
        </is>
      </c>
    </row>
    <row r="20">
      <c r="A20" t="inlineStr" s="1">
        <is>
          <t xml:space="preserve">REG-PERIOD-END</t>
        </is>
      </c>
      <c r="B20" t="inlineStr" s="1">
        <is>
          <t xml:space="preserve">Reporting period</t>
        </is>
      </c>
      <c r="C20" t="inlineStr" s="1">
        <is>
          <t xml:space="preserve">Regulation (EU) 2023/956 Article 8</t>
        </is>
      </c>
      <c r="D20" t="inlineStr" s="1">
        <is>
          <t xml:space="preserve">reportingPeriod.endDate.value</t>
        </is>
      </c>
      <c r="E20" t="inlineStr" s="1">
        <is>
          <t xml:space="preserve">2026-12-31</t>
        </is>
      </c>
      <c r="F20" t="inlineStr" s="1">
        <is>
          <t xml:space="preserve">CBAMVALID_SYSTEM</t>
        </is>
      </c>
      <c r="G20" t="inlineStr" s="5">
        <is>
          <t xml:space="preserve">COMPLETE_OPERATOR</t>
        </is>
      </c>
      <c r="H20" t="inlineStr" s="1">
        <is>
          <t xml:space="preserve"/>
        </is>
      </c>
      <c r="I20" t="inlineStr" s="1">
        <is>
          <t xml:space="preserve"/>
        </is>
      </c>
    </row>
    <row r="21">
      <c r="A21" t="inlineStr" s="1">
        <is>
          <t xml:space="preserve">REG-GOOD-CN-0</t>
        </is>
      </c>
      <c r="B21" t="inlineStr" s="1">
        <is>
          <t xml:space="preserve">Goods</t>
        </is>
      </c>
      <c r="C21" t="inlineStr" s="1">
        <is>
          <t xml:space="preserve">Regulation (EU) 2023/956 Annex VI.1(c)</t>
        </is>
      </c>
      <c r="D21" t="inlineStr" s="1">
        <is>
          <t xml:space="preserve">goods.0.cnCode.value</t>
        </is>
      </c>
      <c r="E21" t="inlineStr" s="1">
        <is>
          <t xml:space="preserve">72011011</t>
        </is>
      </c>
      <c r="F21" t="inlineStr" s="1">
        <is>
          <t xml:space="preserve">OPERATOR</t>
        </is>
      </c>
      <c r="G21" t="inlineStr" s="5">
        <is>
          <t xml:space="preserve">COMPLETE_OPERATOR</t>
        </is>
      </c>
      <c r="H21" t="inlineStr" s="1">
        <is>
          <t xml:space="preserve">11111111-1111-4111-8111-222222222222</t>
        </is>
      </c>
      <c r="I21" t="inlineStr" s="1">
        <is>
          <t xml:space="preserve">MATERIAL_EVIDENCE_QUALITY_D_OR_E | SINGLE_SOURCE_CONCENTRATION | EVIDENCE_DIVERSITY_INSUFFICIENT</t>
        </is>
      </c>
    </row>
    <row r="22">
      <c r="A22" t="inlineStr" s="1">
        <is>
          <t xml:space="preserve">REG-GOOD-PROD-0</t>
        </is>
      </c>
      <c r="B22" t="inlineStr" s="1">
        <is>
          <t xml:space="preserve">Goods</t>
        </is>
      </c>
      <c r="C22" t="inlineStr" s="1">
        <is>
          <t xml:space="preserve">Regulation (EU) 2023/956 Annex VI.1(c)</t>
        </is>
      </c>
      <c r="D22" t="inlineStr" s="1">
        <is>
          <t xml:space="preserve">goods.0.productionVolume.value</t>
        </is>
      </c>
      <c r="E22" t="inlineStr" s="1">
        <is>
          <t xml:space="preserve">60</t>
        </is>
      </c>
      <c r="F22" t="inlineStr" s="1">
        <is>
          <t xml:space="preserve">OPERATOR</t>
        </is>
      </c>
      <c r="G22" t="inlineStr" s="5">
        <is>
          <t xml:space="preserve">COMPLETE_OPERATOR</t>
        </is>
      </c>
      <c r="H22" t="inlineStr" s="1">
        <is>
          <t xml:space="preserve">11111111-1111-4111-8111-444444444444</t>
        </is>
      </c>
      <c r="I22" t="inlineStr" s="1">
        <is>
          <t xml:space="preserve">MATERIAL_EVIDENCE_QUALITY_D_OR_E | EVIDENCE_DIVERSITY_INSUFFICIENT</t>
        </is>
      </c>
    </row>
    <row r="23">
      <c r="A23" t="inlineStr" s="1">
        <is>
          <t xml:space="preserve">REG-GOOD-ALLOC-0</t>
        </is>
      </c>
      <c r="B23" t="inlineStr" s="1">
        <is>
          <t xml:space="preserve">Goods</t>
        </is>
      </c>
      <c r="C23" t="inlineStr" s="1">
        <is>
          <t xml:space="preserve">Implementing Regulation (EU) 2025/2546 Annex II</t>
        </is>
      </c>
      <c r="D23" t="inlineStr" s="1">
        <is>
          <t xml:space="preserve">goods.0.allocationShare.value</t>
        </is>
      </c>
      <c r="E23" t="inlineStr" s="1">
        <is>
          <t xml:space="preserve">0.6</t>
        </is>
      </c>
      <c r="F23" t="inlineStr" s="1">
        <is>
          <t xml:space="preserve">OPERATOR</t>
        </is>
      </c>
      <c r="G23" t="inlineStr" s="5">
        <is>
          <t xml:space="preserve">COMPLETE_OPERATOR</t>
        </is>
      </c>
      <c r="H23" t="inlineStr" s="1">
        <is>
          <t xml:space="preserve">11111111-1111-4111-8111-222222222222 | 11111111-1111-4111-8111-444444444444</t>
        </is>
      </c>
      <c r="I23" t="inlineStr" s="1">
        <is>
          <t xml:space="preserve"/>
        </is>
      </c>
    </row>
    <row r="24">
      <c r="A24" t="inlineStr" s="1">
        <is>
          <t xml:space="preserve">REG-GOOD-CN-1</t>
        </is>
      </c>
      <c r="B24" t="inlineStr" s="1">
        <is>
          <t xml:space="preserve">Goods</t>
        </is>
      </c>
      <c r="C24" t="inlineStr" s="1">
        <is>
          <t xml:space="preserve">Regulation (EU) 2023/956 Annex VI.1(c)</t>
        </is>
      </c>
      <c r="D24" t="inlineStr" s="1">
        <is>
          <t xml:space="preserve">goods.1.cnCode.value</t>
        </is>
      </c>
      <c r="E24" t="inlineStr" s="1">
        <is>
          <t xml:space="preserve">72011019</t>
        </is>
      </c>
      <c r="F24" t="inlineStr" s="1">
        <is>
          <t xml:space="preserve">OPERATOR</t>
        </is>
      </c>
      <c r="G24" t="inlineStr" s="5">
        <is>
          <t xml:space="preserve">COMPLETE_OPERATOR</t>
        </is>
      </c>
      <c r="H24" t="inlineStr" s="1">
        <is>
          <t xml:space="preserve">11111111-1111-4111-8111-222222222222</t>
        </is>
      </c>
      <c r="I24" t="inlineStr" s="1">
        <is>
          <t xml:space="preserve">MATERIAL_EVIDENCE_QUALITY_D_OR_E | SINGLE_SOURCE_CONCENTRATION | EVIDENCE_DIVERSITY_INSUFFICIENT</t>
        </is>
      </c>
    </row>
    <row r="25">
      <c r="A25" t="inlineStr" s="1">
        <is>
          <t xml:space="preserve">REG-GOOD-PROD-1</t>
        </is>
      </c>
      <c r="B25" t="inlineStr" s="1">
        <is>
          <t xml:space="preserve">Goods</t>
        </is>
      </c>
      <c r="C25" t="inlineStr" s="1">
        <is>
          <t xml:space="preserve">Regulation (EU) 2023/956 Annex VI.1(c)</t>
        </is>
      </c>
      <c r="D25" t="inlineStr" s="1">
        <is>
          <t xml:space="preserve">goods.1.productionVolume.value</t>
        </is>
      </c>
      <c r="E25" t="inlineStr" s="1">
        <is>
          <t xml:space="preserve">40</t>
        </is>
      </c>
      <c r="F25" t="inlineStr" s="1">
        <is>
          <t xml:space="preserve">OPERATOR</t>
        </is>
      </c>
      <c r="G25" t="inlineStr" s="5">
        <is>
          <t xml:space="preserve">COMPLETE_OPERATOR</t>
        </is>
      </c>
      <c r="H25" t="inlineStr" s="1">
        <is>
          <t xml:space="preserve">11111111-1111-4111-8111-555555555555</t>
        </is>
      </c>
      <c r="I25" t="inlineStr" s="1">
        <is>
          <t xml:space="preserve">MATERIAL_EVIDENCE_QUALITY_D_OR_E | EVIDENCE_DIVERSITY_INSUFFICIENT</t>
        </is>
      </c>
    </row>
    <row r="26">
      <c r="A26" t="inlineStr" s="1">
        <is>
          <t xml:space="preserve">REG-GOOD-ALLOC-1</t>
        </is>
      </c>
      <c r="B26" t="inlineStr" s="1">
        <is>
          <t xml:space="preserve">Goods</t>
        </is>
      </c>
      <c r="C26" t="inlineStr" s="1">
        <is>
          <t xml:space="preserve">Implementing Regulation (EU) 2025/2546 Annex II</t>
        </is>
      </c>
      <c r="D26" t="inlineStr" s="1">
        <is>
          <t xml:space="preserve">goods.1.allocationShare.value</t>
        </is>
      </c>
      <c r="E26" t="inlineStr" s="1">
        <is>
          <t xml:space="preserve">0.4</t>
        </is>
      </c>
      <c r="F26" t="inlineStr" s="1">
        <is>
          <t xml:space="preserve">OPERATOR</t>
        </is>
      </c>
      <c r="G26" t="inlineStr" s="5">
        <is>
          <t xml:space="preserve">COMPLETE_OPERATOR</t>
        </is>
      </c>
      <c r="H26" t="inlineStr" s="1">
        <is>
          <t xml:space="preserve">11111111-1111-4111-8111-222222222222 | 11111111-1111-4111-8111-444444444444</t>
        </is>
      </c>
      <c r="I26" t="inlineStr" s="1">
        <is>
          <t xml:space="preserve"/>
        </is>
      </c>
    </row>
    <row r="27">
      <c r="A27" t="inlineStr" s="1">
        <is>
          <t xml:space="preserve">REG-DIRECT-EM</t>
        </is>
      </c>
      <c r="B27" t="inlineStr" s="1">
        <is>
          <t xml:space="preserve">Emissions</t>
        </is>
      </c>
      <c r="C27" t="inlineStr" s="1">
        <is>
          <t xml:space="preserve">Regulation (EU) 2023/956 Annex VI.1(d)</t>
        </is>
      </c>
      <c r="D27" t="inlineStr" s="1">
        <is>
          <t xml:space="preserve">directEmissions.value</t>
        </is>
      </c>
      <c r="E27" t="inlineStr" s="1">
        <is>
          <t xml:space="preserve">80</t>
        </is>
      </c>
      <c r="F27" t="inlineStr" s="1">
        <is>
          <t xml:space="preserve">OPERATOR</t>
        </is>
      </c>
      <c r="G27" t="inlineStr" s="5">
        <is>
          <t xml:space="preserve">COMPLETE_OPERATOR</t>
        </is>
      </c>
      <c r="H27" t="inlineStr" s="1">
        <is>
          <t xml:space="preserve">11111111-1111-4111-8111-555555555555 | 11111111-1111-4111-8111-666666666666</t>
        </is>
      </c>
      <c r="I27" t="inlineStr" s="1">
        <is>
          <t xml:space="preserve">MATERIAL_EVIDENCE_QUALITY_D_OR_E | EVIDENCE_DIVERSITY_INSUFFICIENT</t>
        </is>
      </c>
    </row>
    <row r="28">
      <c r="A28" t="inlineStr" s="1">
        <is>
          <t xml:space="preserve">REG-ELECTRICITY</t>
        </is>
      </c>
      <c r="B28" t="inlineStr" s="1">
        <is>
          <t xml:space="preserve">Emissions</t>
        </is>
      </c>
      <c r="C28" t="inlineStr" s="1">
        <is>
          <t xml:space="preserve">Implementing Regulation (EU) 2025/2546 Article 6(3)</t>
        </is>
      </c>
      <c r="D28" t="inlineStr" s="1">
        <is>
          <t xml:space="preserve">electricityConsumed.value</t>
        </is>
      </c>
      <c r="E28" t="inlineStr" s="1">
        <is>
          <t xml:space="preserve">100</t>
        </is>
      </c>
      <c r="F28" t="inlineStr" s="1">
        <is>
          <t xml:space="preserve">OPERATOR</t>
        </is>
      </c>
      <c r="G28" t="inlineStr" s="5">
        <is>
          <t xml:space="preserve">COMPLETE_OPERATOR</t>
        </is>
      </c>
      <c r="H28" t="inlineStr" s="1">
        <is>
          <t xml:space="preserve">11111111-1111-4111-8111-333333333333</t>
        </is>
      </c>
      <c r="I28" t="inlineStr" s="1">
        <is>
          <t xml:space="preserve">MATERIAL_EVIDENCE_QUALITY_D_OR_E | EVIDENCE_DIVERSITY_INSUFFICIENT</t>
        </is>
      </c>
    </row>
    <row r="29">
      <c r="A29" t="inlineStr" s="1">
        <is>
          <t xml:space="preserve">REG-GRID-FACTOR</t>
        </is>
      </c>
      <c r="B29" t="inlineStr" s="1">
        <is>
          <t xml:space="preserve">Emissions</t>
        </is>
      </c>
      <c r="C29" t="inlineStr" s="1">
        <is>
          <t xml:space="preserve">Implementing Regulation (EU) 2025/2546 Article 6(3)</t>
        </is>
      </c>
      <c r="D29" t="inlineStr" s="1">
        <is>
          <t xml:space="preserve">gridEmissionFactor.value</t>
        </is>
      </c>
      <c r="E29" t="inlineStr" s="1">
        <is>
          <t xml:space="preserve">0.4</t>
        </is>
      </c>
      <c r="F29" t="inlineStr" s="1">
        <is>
          <t xml:space="preserve">OPERATOR</t>
        </is>
      </c>
      <c r="G29" t="inlineStr" s="5">
        <is>
          <t xml:space="preserve">COMPLETE_OPERATOR</t>
        </is>
      </c>
      <c r="H29" t="inlineStr" s="1">
        <is>
          <t xml:space="preserve">11111111-1111-4111-8111-333333333333</t>
        </is>
      </c>
      <c r="I29" t="inlineStr" s="1">
        <is>
          <t xml:space="preserve">MATERIAL_EVIDENCE_QUALITY_D_OR_E | EVIDENCE_DIVERSITY_INSUFFICIENT</t>
        </is>
      </c>
    </row>
    <row r="30">
      <c r="A30" t="inlineStr" s="1">
        <is>
          <t xml:space="preserve">REG-PRECURSORS</t>
        </is>
      </c>
      <c r="B30" t="inlineStr" s="1">
        <is>
          <t xml:space="preserve">Precursors</t>
        </is>
      </c>
      <c r="C30" t="inlineStr" s="1">
        <is>
          <t xml:space="preserve">Implementing Regulation (EU) 2025/2546 Annex II.4</t>
        </is>
      </c>
      <c r="D30" t="inlineStr" s="1">
        <is>
          <t xml:space="preserve">N/A - no precursors declared</t>
        </is>
      </c>
      <c r="E30" t="inlineStr" s="1">
        <is>
          <t xml:space="preserve"/>
        </is>
      </c>
      <c r="F30" t="inlineStr" s="1">
        <is>
          <t xml:space="preserve">OPERATOR</t>
        </is>
      </c>
      <c r="G30" t="inlineStr" s="5">
        <is>
          <t xml:space="preserve">NOT_APPLICABLE_WITH_BASIS</t>
        </is>
      </c>
      <c r="H30" t="inlineStr" s="1">
        <is>
          <t xml:space="preserve"/>
        </is>
      </c>
      <c r="I30" t="inlineStr" s="1">
        <is>
          <t xml:space="preserve">NOT_APPLICABLE_WITH_BASIS</t>
        </is>
      </c>
    </row>
    <row r="31">
      <c r="A31" t="inlineStr" s="1">
        <is>
          <t xml:space="preserve">REG-ALLOC-METHOD</t>
        </is>
      </c>
      <c r="B31" t="inlineStr" s="1">
        <is>
          <t xml:space="preserve">Allocation</t>
        </is>
      </c>
      <c r="C31" t="inlineStr" s="1">
        <is>
          <t xml:space="preserve">Implementing Regulation (EU) 2025/2546 Annex II</t>
        </is>
      </c>
      <c r="D31" t="inlineStr" s="1">
        <is>
          <t xml:space="preserve">methodologyDecisions.allocationMethod</t>
        </is>
      </c>
      <c r="E31" t="inlineStr" s="1">
        <is>
          <t xml:space="preserve">Allocate installation emissions using documented product mass shares of 0.6 and 0.4.</t>
        </is>
      </c>
      <c r="F31" t="inlineStr" s="1">
        <is>
          <t xml:space="preserve">OPERATOR</t>
        </is>
      </c>
      <c r="G31" t="inlineStr" s="5">
        <is>
          <t xml:space="preserve">COMPLETE_OPERATOR</t>
        </is>
      </c>
      <c r="H31" t="inlineStr" s="1">
        <is>
          <t xml:space="preserve">11111111-1111-4111-8111-222222222222 | 11111111-1111-4111-8111-444444444444</t>
        </is>
      </c>
      <c r="I31" t="inlineStr" s="1">
        <is>
          <t xml:space="preserve"/>
        </is>
      </c>
    </row>
    <row r="32">
      <c r="A32" t="inlineStr" s="1">
        <is>
          <t xml:space="preserve">REG-CARBON-PRICE-0</t>
        </is>
      </c>
      <c r="B32" t="inlineStr" s="1">
        <is>
          <t xml:space="preserve">Carbon price</t>
        </is>
      </c>
      <c r="C32" t="inlineStr" s="1">
        <is>
          <t xml:space="preserve">Regulation (EU) 2023/956 Article 9 and Annex VI.2</t>
        </is>
      </c>
      <c r="D32" t="inlineStr" s="1">
        <is>
          <t xml:space="preserve">carbonPriceRecords.0.amountPaid</t>
        </is>
      </c>
      <c r="E32" t="inlineStr" s="1">
        <is>
          <t xml:space="preserve">1200</t>
        </is>
      </c>
      <c r="F32" t="inlineStr" s="1">
        <is>
          <t xml:space="preserve">OPERATOR</t>
        </is>
      </c>
      <c r="G32" t="inlineStr" s="5">
        <is>
          <t xml:space="preserve">COMPLETE_OPERATOR</t>
        </is>
      </c>
      <c r="H32" t="inlineStr" s="1">
        <is>
          <t xml:space="preserve">11111111-1111-4111-8111-555555555555</t>
        </is>
      </c>
      <c r="I32" t="inlineStr" s="1">
        <is>
          <t xml:space="preserve"/>
        </is>
      </c>
    </row>
    <row r="33">
      <c r="A33" t="inlineStr" s="1">
        <is>
          <t xml:space="preserve">REG-VER-NAME</t>
        </is>
      </c>
      <c r="B33" t="inlineStr" s="1">
        <is>
          <t xml:space="preserve">Verifier</t>
        </is>
      </c>
      <c r="C33" t="inlineStr" s="1">
        <is>
          <t xml:space="preserve">Regulation (EU) 2023/956 Annex VI.2</t>
        </is>
      </c>
      <c r="D33" t="inlineStr" s="1">
        <is>
          <t xml:space="preserve">verifierReserved.verifierLegalName</t>
        </is>
      </c>
      <c r="E33" t="inlineStr" s="1">
        <is>
          <t xml:space="preserve"/>
        </is>
      </c>
      <c r="F33" t="inlineStr" s="1">
        <is>
          <t xml:space="preserve">INDEPENDENT_VERIFIER</t>
        </is>
      </c>
      <c r="G33" t="inlineStr" s="6">
        <is>
          <t xml:space="preserve">PENDING_VERIFIER</t>
        </is>
      </c>
      <c r="H33" t="inlineStr" s="1">
        <is>
          <t xml:space="preserve"/>
        </is>
      </c>
      <c r="I33" t="inlineStr" s="1">
        <is>
          <t xml:space="preserve"/>
        </is>
      </c>
    </row>
    <row r="34">
      <c r="A34" t="inlineStr" s="1">
        <is>
          <t xml:space="preserve">REG-VER-ACC-NO</t>
        </is>
      </c>
      <c r="B34" t="inlineStr" s="1">
        <is>
          <t xml:space="preserve">Verifier</t>
        </is>
      </c>
      <c r="C34" t="inlineStr" s="1">
        <is>
          <t xml:space="preserve">Regulation (EU) 2023/956 Annex VI.2</t>
        </is>
      </c>
      <c r="D34" t="inlineStr" s="1">
        <is>
          <t xml:space="preserve">verifierReserved.accreditationNumber</t>
        </is>
      </c>
      <c r="E34" t="inlineStr" s="1">
        <is>
          <t xml:space="preserve"/>
        </is>
      </c>
      <c r="F34" t="inlineStr" s="1">
        <is>
          <t xml:space="preserve">INDEPENDENT_VERIFIER</t>
        </is>
      </c>
      <c r="G34" t="inlineStr" s="6">
        <is>
          <t xml:space="preserve">PENDING_VERIFIER</t>
        </is>
      </c>
      <c r="H34" t="inlineStr" s="1">
        <is>
          <t xml:space="preserve"/>
        </is>
      </c>
      <c r="I34" t="inlineStr" s="1">
        <is>
          <t xml:space="preserve"/>
        </is>
      </c>
    </row>
    <row r="35">
      <c r="A35" t="inlineStr" s="1">
        <is>
          <t xml:space="preserve">REG-VER-NAB</t>
        </is>
      </c>
      <c r="B35" t="inlineStr" s="1">
        <is>
          <t xml:space="preserve">Verifier</t>
        </is>
      </c>
      <c r="C35" t="inlineStr" s="1">
        <is>
          <t xml:space="preserve">Regulation (EU) 2023/956 Annex VI.2</t>
        </is>
      </c>
      <c r="D35" t="inlineStr" s="1">
        <is>
          <t xml:space="preserve">verifierReserved.nationalAccreditationBody</t>
        </is>
      </c>
      <c r="E35" t="inlineStr" s="1">
        <is>
          <t xml:space="preserve"/>
        </is>
      </c>
      <c r="F35" t="inlineStr" s="1">
        <is>
          <t xml:space="preserve">INDEPENDENT_VERIFIER</t>
        </is>
      </c>
      <c r="G35" t="inlineStr" s="6">
        <is>
          <t xml:space="preserve">PENDING_VERIFIER</t>
        </is>
      </c>
      <c r="H35" t="inlineStr" s="1">
        <is>
          <t xml:space="preserve"/>
        </is>
      </c>
      <c r="I35" t="inlineStr" s="1">
        <is>
          <t xml:space="preserve"/>
        </is>
      </c>
    </row>
    <row r="36">
      <c r="A36" t="inlineStr" s="1">
        <is>
          <t xml:space="preserve">REG-VER-ACC-COUNTRY</t>
        </is>
      </c>
      <c r="B36" t="inlineStr" s="1">
        <is>
          <t xml:space="preserve">Verifier</t>
        </is>
      </c>
      <c r="C36" t="inlineStr" s="1">
        <is>
          <t xml:space="preserve">Regulation (EU) 2023/956 Annex VI.2</t>
        </is>
      </c>
      <c r="D36" t="inlineStr" s="1">
        <is>
          <t xml:space="preserve">verifierReserved.accreditationCountry</t>
        </is>
      </c>
      <c r="E36" t="inlineStr" s="1">
        <is>
          <t xml:space="preserve"/>
        </is>
      </c>
      <c r="F36" t="inlineStr" s="1">
        <is>
          <t xml:space="preserve">INDEPENDENT_VERIFIER</t>
        </is>
      </c>
      <c r="G36" t="inlineStr" s="6">
        <is>
          <t xml:space="preserve">PENDING_VERIFIER</t>
        </is>
      </c>
      <c r="H36" t="inlineStr" s="1">
        <is>
          <t xml:space="preserve"/>
        </is>
      </c>
      <c r="I36" t="inlineStr" s="1">
        <is>
          <t xml:space="preserve"/>
        </is>
      </c>
    </row>
    <row r="37">
      <c r="A37" t="inlineStr" s="1">
        <is>
          <t xml:space="preserve">REG-VER-ACC-EXPIRY</t>
        </is>
      </c>
      <c r="B37" t="inlineStr" s="1">
        <is>
          <t xml:space="preserve">Verifier</t>
        </is>
      </c>
      <c r="C37" t="inlineStr" s="1">
        <is>
          <t xml:space="preserve">Regulation (EU) 2023/956 Annex VI.2</t>
        </is>
      </c>
      <c r="D37" t="inlineStr" s="1">
        <is>
          <t xml:space="preserve">verifierReserved.accreditationExpiry</t>
        </is>
      </c>
      <c r="E37" t="inlineStr" s="1">
        <is>
          <t xml:space="preserve"/>
        </is>
      </c>
      <c r="F37" t="inlineStr" s="1">
        <is>
          <t xml:space="preserve">INDEPENDENT_VERIFIER</t>
        </is>
      </c>
      <c r="G37" t="inlineStr" s="6">
        <is>
          <t xml:space="preserve">PENDING_VERIFIER</t>
        </is>
      </c>
      <c r="H37" t="inlineStr" s="1">
        <is>
          <t xml:space="preserve"/>
        </is>
      </c>
      <c r="I37" t="inlineStr" s="1">
        <is>
          <t xml:space="preserve"/>
        </is>
      </c>
    </row>
    <row r="38">
      <c r="A38" t="inlineStr" s="1">
        <is>
          <t xml:space="preserve">REG-VER-ACC-SCOPE</t>
        </is>
      </c>
      <c r="B38" t="inlineStr" s="1">
        <is>
          <t xml:space="preserve">Verifier</t>
        </is>
      </c>
      <c r="C38" t="inlineStr" s="1">
        <is>
          <t xml:space="preserve">Regulation (EU) 2023/956 Annex VI.2</t>
        </is>
      </c>
      <c r="D38" t="inlineStr" s="1">
        <is>
          <t xml:space="preserve">verifierReserved.accreditationScope</t>
        </is>
      </c>
      <c r="E38" t="inlineStr" s="1">
        <is>
          <t xml:space="preserve"/>
        </is>
      </c>
      <c r="F38" t="inlineStr" s="1">
        <is>
          <t xml:space="preserve">INDEPENDENT_VERIFIER</t>
        </is>
      </c>
      <c r="G38" t="inlineStr" s="6">
        <is>
          <t xml:space="preserve">PENDING_VERIFIER</t>
        </is>
      </c>
      <c r="H38" t="inlineStr" s="1">
        <is>
          <t xml:space="preserve"/>
        </is>
      </c>
      <c r="I38" t="inlineStr" s="1">
        <is>
          <t xml:space="preserve"/>
        </is>
      </c>
    </row>
    <row r="39">
      <c r="A39" t="inlineStr" s="1">
        <is>
          <t xml:space="preserve">REG-VER-SITE-VISIT</t>
        </is>
      </c>
      <c r="B39" t="inlineStr" s="1">
        <is>
          <t xml:space="preserve">Verifier</t>
        </is>
      </c>
      <c r="C39" t="inlineStr" s="1">
        <is>
          <t xml:space="preserve">Implementing Regulation (EU) 2025/2546 Article 6(2)</t>
        </is>
      </c>
      <c r="D39" t="inlineStr" s="1">
        <is>
          <t xml:space="preserve">verifierReserved.siteVisitType</t>
        </is>
      </c>
      <c r="E39" t="inlineStr" s="1">
        <is>
          <t xml:space="preserve"/>
        </is>
      </c>
      <c r="F39" t="inlineStr" s="1">
        <is>
          <t xml:space="preserve">INDEPENDENT_VERIFIER</t>
        </is>
      </c>
      <c r="G39" t="inlineStr" s="6">
        <is>
          <t xml:space="preserve">PENDING_VERIFIER</t>
        </is>
      </c>
      <c r="H39" t="inlineStr" s="1">
        <is>
          <t xml:space="preserve"/>
        </is>
      </c>
      <c r="I39" t="inlineStr" s="1">
        <is>
          <t xml:space="preserve"/>
        </is>
      </c>
    </row>
    <row r="40">
      <c r="A40" t="inlineStr" s="1">
        <is>
          <t xml:space="preserve">REG-VER-VISIT-DATES</t>
        </is>
      </c>
      <c r="B40" t="inlineStr" s="1">
        <is>
          <t xml:space="preserve">Verifier</t>
        </is>
      </c>
      <c r="C40" t="inlineStr" s="1">
        <is>
          <t xml:space="preserve">Implementing Regulation (EU) 2025/2546 Article 6(2)</t>
        </is>
      </c>
      <c r="D40" t="inlineStr" s="1">
        <is>
          <t xml:space="preserve">verifierReserved.siteVisitDates</t>
        </is>
      </c>
      <c r="E40" t="inlineStr" s="1">
        <is>
          <t xml:space="preserve"/>
        </is>
      </c>
      <c r="F40" t="inlineStr" s="1">
        <is>
          <t xml:space="preserve">INDEPENDENT_VERIFIER</t>
        </is>
      </c>
      <c r="G40" t="inlineStr" s="6">
        <is>
          <t xml:space="preserve">PENDING_VERIFIER</t>
        </is>
      </c>
      <c r="H40" t="inlineStr" s="1">
        <is>
          <t xml:space="preserve"/>
        </is>
      </c>
      <c r="I40" t="inlineStr" s="1">
        <is>
          <t xml:space="preserve"/>
        </is>
      </c>
    </row>
    <row r="41">
      <c r="A41" t="inlineStr" s="1">
        <is>
          <t xml:space="preserve">REG-VER-OPINION</t>
        </is>
      </c>
      <c r="B41" t="inlineStr" s="1">
        <is>
          <t xml:space="preserve">Verifier</t>
        </is>
      </c>
      <c r="C41" t="inlineStr" s="1">
        <is>
          <t xml:space="preserve">Regulation (EU) 2023/956 Annex VI.4</t>
        </is>
      </c>
      <c r="D41" t="inlineStr" s="1">
        <is>
          <t xml:space="preserve">verifierReserved.finalOpinion</t>
        </is>
      </c>
      <c r="E41" t="inlineStr" s="1">
        <is>
          <t xml:space="preserve"/>
        </is>
      </c>
      <c r="F41" t="inlineStr" s="1">
        <is>
          <t xml:space="preserve">INDEPENDENT_VERIFIER</t>
        </is>
      </c>
      <c r="G41" t="inlineStr" s="6">
        <is>
          <t xml:space="preserve">PENDING_VERIFIER</t>
        </is>
      </c>
      <c r="H41" t="inlineStr" s="1">
        <is>
          <t xml:space="preserve"/>
        </is>
      </c>
      <c r="I41" t="inlineStr" s="1">
        <is>
          <t xml:space="preserve"/>
        </is>
      </c>
    </row>
    <row r="42">
      <c r="A42" t="inlineStr" s="1">
        <is>
          <t xml:space="preserve">REG-VER-CERT-REF</t>
        </is>
      </c>
      <c r="B42" t="inlineStr" s="1">
        <is>
          <t xml:space="preserve">Verifier</t>
        </is>
      </c>
      <c r="C42" t="inlineStr" s="1">
        <is>
          <t xml:space="preserve">Regulation (EU) 2023/956 Annex VI.4</t>
        </is>
      </c>
      <c r="D42" t="inlineStr" s="1">
        <is>
          <t xml:space="preserve">verifierReserved.certificateReference</t>
        </is>
      </c>
      <c r="E42" t="inlineStr" s="1">
        <is>
          <t xml:space="preserve"/>
        </is>
      </c>
      <c r="F42" t="inlineStr" s="1">
        <is>
          <t xml:space="preserve">INDEPENDENT_VERIFIER</t>
        </is>
      </c>
      <c r="G42" t="inlineStr" s="6">
        <is>
          <t xml:space="preserve">PENDING_VERIFIER</t>
        </is>
      </c>
      <c r="H42" t="inlineStr" s="1">
        <is>
          <t xml:space="preserve"/>
        </is>
      </c>
      <c r="I42" t="inlineStr" s="1">
        <is>
          <t xml:space="preserve"/>
        </is>
      </c>
    </row>
  </sheetData>
  <autoFilter ref="A1:I42"/>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landscape" fitToWidth="1" fitToHeight="0" paperSize="9"/>
</worksheet>
</file>

<file path=xl/worksheets/sheet26.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2" customWidth="1"/>
    <col min="2" max="2" width="78" customWidth="1"/>
    <col min="3" max="3" width="42" customWidth="1"/>
    <col min="4" max="4" width="52" customWidth="1"/>
  </cols>
  <sheetData>
    <row r="1" ht="24" customHeight="1">
      <c r="A1" t="inlineStr" s="3">
        <is>
          <t xml:space="preserve">Team attribute</t>
        </is>
      </c>
      <c r="B1" t="inlineStr" s="3">
        <is>
          <t xml:space="preserve">Value</t>
        </is>
      </c>
      <c r="C1" t="inlineStr" s="3">
        <is>
          <t xml:space="preserve">Field</t>
        </is>
      </c>
      <c r="D1" t="inlineStr" s="3">
        <is>
          <t xml:space="preserve">Verifier-reserved</t>
        </is>
      </c>
    </row>
    <row r="2">
      <c r="A2" t="inlineStr" s="1">
        <is>
          <t xml:space="preserve">Verifier legal name</t>
        </is>
      </c>
      <c r="B2" t="inlineStr" s="1">
        <is>
          <t xml:space="preserve"/>
        </is>
      </c>
      <c r="C2" t="inlineStr" s="1">
        <is>
          <t xml:space="preserve">verifierReserved.verifierLegalName</t>
        </is>
      </c>
      <c r="D2" t="inlineStr" s="6">
        <is>
          <t xml:space="preserve">PENDING_EXTERNAL_VERIFIER</t>
        </is>
      </c>
    </row>
    <row r="3">
      <c r="A3" t="inlineStr" s="1">
        <is>
          <t xml:space="preserve">Verifier address</t>
        </is>
      </c>
      <c r="B3" t="inlineStr" s="1">
        <is>
          <t xml:space="preserve"/>
        </is>
      </c>
      <c r="C3" t="inlineStr" s="1">
        <is>
          <t xml:space="preserve">verifierReserved.verifierAddress</t>
        </is>
      </c>
      <c r="D3" t="inlineStr" s="6">
        <is>
          <t xml:space="preserve">PENDING_EXTERNAL_VERIFIER</t>
        </is>
      </c>
    </row>
    <row r="4">
      <c r="A4" t="inlineStr" s="1">
        <is>
          <t xml:space="preserve">Accreditation number</t>
        </is>
      </c>
      <c r="B4" t="inlineStr" s="1">
        <is>
          <t xml:space="preserve"/>
        </is>
      </c>
      <c r="C4" t="inlineStr" s="1">
        <is>
          <t xml:space="preserve">verifierReserved.accreditationNumber</t>
        </is>
      </c>
      <c r="D4" t="inlineStr" s="6">
        <is>
          <t xml:space="preserve">PENDING_EXTERNAL_VERIFIER</t>
        </is>
      </c>
    </row>
    <row r="5">
      <c r="A5" t="inlineStr" s="1">
        <is>
          <t xml:space="preserve">National accreditation body</t>
        </is>
      </c>
      <c r="B5" t="inlineStr" s="1">
        <is>
          <t xml:space="preserve"/>
        </is>
      </c>
      <c r="C5" t="inlineStr" s="1">
        <is>
          <t xml:space="preserve">verifierReserved.nationalAccreditationBody</t>
        </is>
      </c>
      <c r="D5" t="inlineStr" s="6">
        <is>
          <t xml:space="preserve">PENDING_EXTERNAL_VERIFIER</t>
        </is>
      </c>
    </row>
    <row r="6">
      <c r="A6" t="inlineStr" s="1">
        <is>
          <t xml:space="preserve">Accreditation country</t>
        </is>
      </c>
      <c r="B6" t="inlineStr" s="1">
        <is>
          <t xml:space="preserve"/>
        </is>
      </c>
      <c r="C6" t="inlineStr" s="1">
        <is>
          <t xml:space="preserve">verifierReserved.accreditationCountry</t>
        </is>
      </c>
      <c r="D6" t="inlineStr" s="6">
        <is>
          <t xml:space="preserve">PENDING_EXTERNAL_VERIFIER</t>
        </is>
      </c>
    </row>
    <row r="7">
      <c r="A7" t="inlineStr" s="1">
        <is>
          <t xml:space="preserve">Accreditation expiry</t>
        </is>
      </c>
      <c r="B7" t="inlineStr" s="1">
        <is>
          <t xml:space="preserve"/>
        </is>
      </c>
      <c r="C7" t="inlineStr" s="1">
        <is>
          <t xml:space="preserve">verifierReserved.accreditationExpiry</t>
        </is>
      </c>
      <c r="D7" t="inlineStr" s="6">
        <is>
          <t xml:space="preserve">PENDING_EXTERNAL_VERIFIER</t>
        </is>
      </c>
    </row>
    <row r="8">
      <c r="A8" t="inlineStr" s="1">
        <is>
          <t xml:space="preserve">Accreditation scope</t>
        </is>
      </c>
      <c r="B8" t="inlineStr" s="1">
        <is>
          <t xml:space="preserve"/>
        </is>
      </c>
      <c r="C8" t="inlineStr" s="1">
        <is>
          <t xml:space="preserve">verifierReserved.accreditationScope</t>
        </is>
      </c>
      <c r="D8" t="inlineStr" s="6">
        <is>
          <t xml:space="preserve">PENDING_EXTERNAL_VERIFIER</t>
        </is>
      </c>
    </row>
    <row r="9">
      <c r="A9" t="inlineStr" s="1">
        <is>
          <t xml:space="preserve">Team leader</t>
        </is>
      </c>
      <c r="B9" t="inlineStr" s="1">
        <is>
          <t xml:space="preserve"/>
        </is>
      </c>
      <c r="C9" t="inlineStr" s="1">
        <is>
          <t xml:space="preserve">verifierReserved.teamLeader</t>
        </is>
      </c>
      <c r="D9" t="inlineStr" s="6">
        <is>
          <t xml:space="preserve">PENDING_EXTERNAL_VERIFIER</t>
        </is>
      </c>
    </row>
    <row r="10">
      <c r="A10" t="inlineStr" s="1">
        <is>
          <t xml:space="preserve">CBAM lead auditor</t>
        </is>
      </c>
      <c r="B10" t="inlineStr" s="1">
        <is>
          <t xml:space="preserve"/>
        </is>
      </c>
      <c r="C10" t="inlineStr" s="1">
        <is>
          <t xml:space="preserve">verifierReserved.cbamLeadAuditor</t>
        </is>
      </c>
      <c r="D10" t="inlineStr" s="6">
        <is>
          <t xml:space="preserve">PENDING_EXTERNAL_VERIFIER</t>
        </is>
      </c>
    </row>
    <row r="11">
      <c r="A11" t="inlineStr" s="1">
        <is>
          <t xml:space="preserve">Auditors</t>
        </is>
      </c>
      <c r="B11" t="inlineStr" s="1">
        <is>
          <t xml:space="preserve"/>
        </is>
      </c>
      <c r="C11" t="inlineStr" s="1">
        <is>
          <t xml:space="preserve">verifierReserved.auditors</t>
        </is>
      </c>
      <c r="D11" t="inlineStr" s="6">
        <is>
          <t xml:space="preserve">PENDING_EXTERNAL_VERIFIER</t>
        </is>
      </c>
    </row>
    <row r="12">
      <c r="A12" t="inlineStr" s="1">
        <is>
          <t xml:space="preserve">Technical experts</t>
        </is>
      </c>
      <c r="B12" t="inlineStr" s="1">
        <is>
          <t xml:space="preserve"/>
        </is>
      </c>
      <c r="C12" t="inlineStr" s="1">
        <is>
          <t xml:space="preserve">verifierReserved.technicalExperts</t>
        </is>
      </c>
      <c r="D12" t="inlineStr" s="6">
        <is>
          <t xml:space="preserve">PENDING_EXTERNAL_VERIFIER</t>
        </is>
      </c>
    </row>
    <row r="13">
      <c r="A13" t="inlineStr" s="1">
        <is>
          <t xml:space="preserve">Independent reviewer</t>
        </is>
      </c>
      <c r="B13" t="inlineStr" s="1">
        <is>
          <t xml:space="preserve"/>
        </is>
      </c>
      <c r="C13" t="inlineStr" s="1">
        <is>
          <t xml:space="preserve">verifierReserved.independentReviewer</t>
        </is>
      </c>
      <c r="D13" t="inlineStr" s="6">
        <is>
          <t xml:space="preserve">PENDING_EXTERNAL_VERIFIER</t>
        </is>
      </c>
    </row>
  </sheetData>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27.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2" customWidth="1"/>
    <col min="2" max="2" width="78" customWidth="1"/>
    <col min="3" max="3" width="42" customWidth="1"/>
    <col min="4" max="4" width="52" customWidth="1"/>
  </cols>
  <sheetData>
    <row r="1" ht="24" customHeight="1">
      <c r="A1" t="inlineStr" s="3">
        <is>
          <t xml:space="preserve">Site-visit attribute</t>
        </is>
      </c>
      <c r="B1" t="inlineStr" s="3">
        <is>
          <t xml:space="preserve">Value</t>
        </is>
      </c>
      <c r="C1" t="inlineStr" s="3">
        <is>
          <t xml:space="preserve">Field</t>
        </is>
      </c>
      <c r="D1" t="inlineStr" s="3">
        <is>
          <t xml:space="preserve">Verifier-reserved</t>
        </is>
      </c>
    </row>
    <row r="2">
      <c r="A2" t="inlineStr" s="1">
        <is>
          <t xml:space="preserve">Site visit type</t>
        </is>
      </c>
      <c r="B2" t="inlineStr" s="1">
        <is>
          <t xml:space="preserve">NOT_ASSIGNED</t>
        </is>
      </c>
      <c r="C2" t="inlineStr" s="1">
        <is>
          <t xml:space="preserve">verifierReserved.siteVisitType</t>
        </is>
      </c>
      <c r="D2" t="inlineStr" s="6">
        <is>
          <t xml:space="preserve">PENDING_EXTERNAL_VERIFIER</t>
        </is>
      </c>
    </row>
    <row r="3">
      <c r="A3" t="inlineStr" s="1">
        <is>
          <t xml:space="preserve">Site visit dates</t>
        </is>
      </c>
      <c r="B3" t="inlineStr" s="1">
        <is>
          <t xml:space="preserve"/>
        </is>
      </c>
      <c r="C3" t="inlineStr" s="1">
        <is>
          <t xml:space="preserve">verifierReserved.siteVisitDates</t>
        </is>
      </c>
      <c r="D3" t="inlineStr" s="6">
        <is>
          <t xml:space="preserve">PENDING_EXTERNAL_VERIFIER</t>
        </is>
      </c>
    </row>
    <row r="4">
      <c r="A4" t="inlineStr" s="1">
        <is>
          <t xml:space="preserve">Days on-site</t>
        </is>
      </c>
      <c r="B4" t="inlineStr" s="8">
        <is>
          <t xml:space="preserve"/>
        </is>
      </c>
      <c r="C4" t="inlineStr" s="1">
        <is>
          <t xml:space="preserve">verifierReserved.daysOnSite</t>
        </is>
      </c>
      <c r="D4" t="inlineStr" s="6">
        <is>
          <t xml:space="preserve">PENDING_EXTERNAL_VERIFIER</t>
        </is>
      </c>
    </row>
    <row r="5">
      <c r="A5" t="inlineStr" s="1">
        <is>
          <t xml:space="preserve">Virtual visit justification</t>
        </is>
      </c>
      <c r="B5" t="inlineStr" s="1">
        <is>
          <t xml:space="preserve"/>
        </is>
      </c>
      <c r="C5" t="inlineStr" s="1">
        <is>
          <t xml:space="preserve">verifierReserved.virtualVisitJustification</t>
        </is>
      </c>
      <c r="D5" t="inlineStr" s="6">
        <is>
          <t xml:space="preserve">PENDING_EXTERNAL_VERIFIER</t>
        </is>
      </c>
    </row>
    <row r="6">
      <c r="A6" t="inlineStr" s="1">
        <is>
          <t xml:space="preserve">Waiver justification</t>
        </is>
      </c>
      <c r="B6" t="inlineStr" s="1">
        <is>
          <t xml:space="preserve"/>
        </is>
      </c>
      <c r="C6" t="inlineStr" s="1">
        <is>
          <t xml:space="preserve">verifierReserved.waiverJustification</t>
        </is>
      </c>
      <c r="D6" t="inlineStr" s="6">
        <is>
          <t xml:space="preserve">PENDING_EXTERNAL_VERIFIER</t>
        </is>
      </c>
    </row>
    <row r="7">
      <c r="A7" t="inlineStr" s="1">
        <is>
          <t xml:space="preserve">Verification objectives</t>
        </is>
      </c>
      <c r="B7" t="inlineStr" s="1">
        <is>
          <t xml:space="preserve"/>
        </is>
      </c>
      <c r="C7" t="inlineStr" s="1">
        <is>
          <t xml:space="preserve">verifierReserved.verificationObjectives</t>
        </is>
      </c>
      <c r="D7" t="inlineStr" s="6">
        <is>
          <t xml:space="preserve">PENDING_EXTERNAL_VERIFIER</t>
        </is>
      </c>
    </row>
    <row r="8">
      <c r="A8" t="inlineStr" s="1">
        <is>
          <t xml:space="preserve">Verification scope</t>
        </is>
      </c>
      <c r="B8" t="inlineStr" s="1">
        <is>
          <t xml:space="preserve"/>
        </is>
      </c>
      <c r="C8" t="inlineStr" s="1">
        <is>
          <t xml:space="preserve">verifierReserved.verificationScope</t>
        </is>
      </c>
      <c r="D8" t="inlineStr" s="6">
        <is>
          <t xml:space="preserve">PENDING_EXTERNAL_VERIFIER</t>
        </is>
      </c>
    </row>
    <row r="9">
      <c r="A9" t="inlineStr" s="1">
        <is>
          <t xml:space="preserve">Criteria</t>
        </is>
      </c>
      <c r="B9" t="inlineStr" s="1">
        <is>
          <t xml:space="preserve"/>
        </is>
      </c>
      <c r="C9" t="inlineStr" s="1">
        <is>
          <t xml:space="preserve">verifierReserved.criteria</t>
        </is>
      </c>
      <c r="D9" t="inlineStr" s="6">
        <is>
          <t xml:space="preserve">PENDING_EXTERNAL_VERIFIER</t>
        </is>
      </c>
    </row>
  </sheetData>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28.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2" customWidth="1"/>
    <col min="2" max="2" width="78" customWidth="1"/>
    <col min="3" max="3" width="42" customWidth="1"/>
    <col min="4" max="4" width="52" customWidth="1"/>
  </cols>
  <sheetData>
    <row r="1" ht="24" customHeight="1">
      <c r="A1" t="inlineStr" s="3">
        <is>
          <t xml:space="preserve">Opinion attribute</t>
        </is>
      </c>
      <c r="B1" t="inlineStr" s="3">
        <is>
          <t xml:space="preserve">Value</t>
        </is>
      </c>
      <c r="C1" t="inlineStr" s="3">
        <is>
          <t xml:space="preserve">Field</t>
        </is>
      </c>
      <c r="D1" t="inlineStr" s="3">
        <is>
          <t xml:space="preserve">Verifier-reserved</t>
        </is>
      </c>
    </row>
    <row r="2">
      <c r="A2" t="inlineStr" s="1">
        <is>
          <t xml:space="preserve">Final opinion</t>
        </is>
      </c>
      <c r="B2" t="inlineStr" s="1">
        <is>
          <t xml:space="preserve">NO_OPINION</t>
        </is>
      </c>
      <c r="C2" t="inlineStr" s="1">
        <is>
          <t xml:space="preserve">verifierReserved.finalOpinion</t>
        </is>
      </c>
      <c r="D2" t="inlineStr" s="6">
        <is>
          <t xml:space="preserve">PENDING_EXTERNAL_VERIFIER</t>
        </is>
      </c>
    </row>
    <row r="3">
      <c r="A3" t="inlineStr" s="1">
        <is>
          <t xml:space="preserve">Signature</t>
        </is>
      </c>
      <c r="B3" t="inlineStr" s="1">
        <is>
          <t xml:space="preserve"/>
        </is>
      </c>
      <c r="C3" t="inlineStr" s="1">
        <is>
          <t xml:space="preserve">verifierReserved.signature</t>
        </is>
      </c>
      <c r="D3" t="inlineStr" s="6">
        <is>
          <t xml:space="preserve">PENDING_EXTERNAL_VERIFIER</t>
        </is>
      </c>
    </row>
    <row r="4">
      <c r="A4" t="inlineStr" s="1">
        <is>
          <t xml:space="preserve">Certificate reference</t>
        </is>
      </c>
      <c r="B4" t="inlineStr" s="1">
        <is>
          <t xml:space="preserve"/>
        </is>
      </c>
      <c r="C4" t="inlineStr" s="1">
        <is>
          <t xml:space="preserve">verifierReserved.certificateReference</t>
        </is>
      </c>
      <c r="D4" t="inlineStr" s="6">
        <is>
          <t xml:space="preserve">PENDING_EXTERNAL_VERIFIER</t>
        </is>
      </c>
    </row>
    <row r="5">
      <c r="A5" t="inlineStr" s="1">
        <is>
          <t xml:space="preserve">Materiality level per good</t>
        </is>
      </c>
      <c r="B5" t="inlineStr" s="1">
        <is>
          <t xml:space="preserve">{}</t>
        </is>
      </c>
      <c r="C5" t="inlineStr" s="1">
        <is>
          <t xml:space="preserve">verifierReserved.materialityLevelPerGood</t>
        </is>
      </c>
      <c r="D5" t="inlineStr" s="6">
        <is>
          <t xml:space="preserve">PENDING_EXTERNAL_VERIFIER</t>
        </is>
      </c>
    </row>
    <row r="6">
      <c r="A6" t="inlineStr" s="4">
        <is>
          <t xml:space="preserve">Boundary notice</t>
        </is>
      </c>
      <c r="B6" t="inlineStr" s="1">
        <is>
          <t xml:space="preserve">Opinion fields are reserved for the independent accredited verifier. CBAMValid never asserts them.</t>
        </is>
      </c>
    </row>
  </sheetData>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29.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12" customWidth="1"/>
    <col min="2" max="2" width="42" customWidth="1"/>
    <col min="3" max="3" width="40" customWidth="1"/>
    <col min="4" max="4" width="56" customWidth="1"/>
    <col min="5" max="5" width="30" customWidth="1"/>
    <col min="6" max="6" width="26" customWidth="1"/>
  </cols>
  <sheetData>
    <row r="1" ht="24" customHeight="1">
      <c r="A1" t="inlineStr" s="3">
        <is>
          <t xml:space="preserve">Version</t>
        </is>
      </c>
      <c r="B1" t="inlineStr" s="3">
        <is>
          <t xml:space="preserve">Sealed at</t>
        </is>
      </c>
      <c r="C1" t="inlineStr" s="3">
        <is>
          <t xml:space="preserve">Report ID</t>
        </is>
      </c>
      <c r="D1" t="inlineStr" s="3">
        <is>
          <t xml:space="preserve">Release reason / changes</t>
        </is>
      </c>
      <c r="E1" t="inlineStr" s="3">
        <is>
          <t xml:space="preserve">Author</t>
        </is>
      </c>
      <c r="F1" t="inlineStr" s="3">
        <is>
          <t xml:space="preserve">Status</t>
        </is>
      </c>
    </row>
    <row r="2">
      <c r="A2" t="inlineStr" s="4">
        <is>
          <t xml:space="preserve">V5</t>
        </is>
      </c>
      <c r="B2" t="inlineStr" s="1">
        <is>
          <t xml:space="preserve">2027-01-15T12:00:00.000Z</t>
        </is>
      </c>
      <c r="C2" t="inlineStr" s="1">
        <is>
          <t xml:space="preserve">report_aaaaaaaaaaaaaaaaaaaaaaaaaaaaaaaaaaaaaaaaaaaaaaaaaaaaaaaaaaaaaaaa</t>
        </is>
      </c>
      <c r="D2" t="inlineStr" s="1">
        <is>
          <t xml:space="preserve">This release (sealed artifact)</t>
        </is>
      </c>
      <c r="E2" t="inlineStr" s="1">
        <is>
          <t xml:space="preserve">OPERATOR_ADMIN</t>
        </is>
      </c>
      <c r="F2" t="inlineStr" s="5">
        <is>
          <t xml:space="preserve">ACTIVE_RELEASE</t>
        </is>
      </c>
    </row>
  </sheetData>
  <autoFilter ref="A1:F2"/>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30.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110" customWidth="1"/>
    <col min="2" max="2" width="16" customWidth="1"/>
    <col min="3" max="3" width="80" customWidth="1"/>
  </cols>
  <sheetData>
    <row r="1" ht="24" customHeight="1">
      <c r="A1" t="inlineStr" s="3">
        <is>
          <t xml:space="preserve">Component path</t>
        </is>
      </c>
      <c r="B1" t="inlineStr" s="3">
        <is>
          <t xml:space="preserve">Type</t>
        </is>
      </c>
      <c r="C1" t="inlineStr" s="3">
        <is>
          <t xml:space="preserve">Sealed-package role</t>
        </is>
      </c>
    </row>
    <row r="2">
      <c r="A2" t="inlineStr" s="1">
        <is>
          <t xml:space="preserve">CBAMValid Verification Readiness &amp; Evidence Assurance Dossier.pdf</t>
        </is>
      </c>
      <c r="B2" t="inlineStr" s="1">
        <is>
          <t xml:space="preserve">PDF</t>
        </is>
      </c>
      <c r="C2" t="inlineStr" s="1">
        <is>
          <t xml:space="preserve">Controlled component covered by the manifest</t>
        </is>
      </c>
    </row>
    <row r="3">
      <c r="A3" t="inlineStr" s="1">
        <is>
          <t xml:space="preserve">Complete Dossier Compilation.pdf</t>
        </is>
      </c>
      <c r="B3" t="inlineStr" s="1">
        <is>
          <t xml:space="preserve">PDF</t>
        </is>
      </c>
      <c r="C3" t="inlineStr" s="1">
        <is>
          <t xml:space="preserve">Controlled component covered by the manifest</t>
        </is>
      </c>
    </row>
    <row r="4">
      <c r="A4" t="inlineStr" s="1">
        <is>
          <t xml:space="preserve">Product Scope Assessment.pdf</t>
        </is>
      </c>
      <c r="B4" t="inlineStr" s="1">
        <is>
          <t xml:space="preserve">PDF</t>
        </is>
      </c>
      <c r="C4" t="inlineStr" s="1">
        <is>
          <t xml:space="preserve">Controlled component covered by the manifest</t>
        </is>
      </c>
    </row>
    <row r="5">
      <c r="A5" t="inlineStr" s="1">
        <is>
          <t xml:space="preserve">CN Code Reasoning.pdf</t>
        </is>
      </c>
      <c r="B5" t="inlineStr" s="1">
        <is>
          <t xml:space="preserve">PDF</t>
        </is>
      </c>
      <c r="C5" t="inlineStr" s="1">
        <is>
          <t xml:space="preserve">Controlled component covered by the manifest</t>
        </is>
      </c>
    </row>
    <row r="6">
      <c r="A6" t="inlineStr" s="1">
        <is>
          <t xml:space="preserve">Required Data Checklist.pdf</t>
        </is>
      </c>
      <c r="B6" t="inlineStr" s="1">
        <is>
          <t xml:space="preserve">PDF</t>
        </is>
      </c>
      <c r="C6" t="inlineStr" s="1">
        <is>
          <t xml:space="preserve">Controlled component covered by the manifest</t>
        </is>
      </c>
    </row>
    <row r="7">
      <c r="A7" t="inlineStr" s="1">
        <is>
          <t xml:space="preserve">Installation Monitoring Plan.pdf</t>
        </is>
      </c>
      <c r="B7" t="inlineStr" s="1">
        <is>
          <t xml:space="preserve">PDF</t>
        </is>
      </c>
      <c r="C7" t="inlineStr" s="1">
        <is>
          <t xml:space="preserve">Controlled component covered by the manifest</t>
        </is>
      </c>
    </row>
    <row r="8">
      <c r="A8" t="inlineStr" s="1">
        <is>
          <t xml:space="preserve">Production Process Map.pdf</t>
        </is>
      </c>
      <c r="B8" t="inlineStr" s="1">
        <is>
          <t xml:space="preserve">PDF</t>
        </is>
      </c>
      <c r="C8" t="inlineStr" s="1">
        <is>
          <t xml:space="preserve">Controlled component covered by the manifest</t>
        </is>
      </c>
    </row>
    <row r="9">
      <c r="A9" t="inlineStr" s="1">
        <is>
          <t xml:space="preserve">System Boundary Register.pdf</t>
        </is>
      </c>
      <c r="B9" t="inlineStr" s="1">
        <is>
          <t xml:space="preserve">PDF</t>
        </is>
      </c>
      <c r="C9" t="inlineStr" s="1">
        <is>
          <t xml:space="preserve">Controlled component covered by the manifest</t>
        </is>
      </c>
    </row>
    <row r="10">
      <c r="A10" t="inlineStr" s="1">
        <is>
          <t xml:space="preserve">Source Stream Register.csv</t>
        </is>
      </c>
      <c r="B10" t="inlineStr" s="1">
        <is>
          <t xml:space="preserve">CSV</t>
        </is>
      </c>
      <c r="C10" t="inlineStr" s="1">
        <is>
          <t xml:space="preserve">Controlled component covered by the manifest</t>
        </is>
      </c>
    </row>
    <row r="11">
      <c r="A11" t="inlineStr" s="1">
        <is>
          <t xml:space="preserve">Emission Source Register.csv</t>
        </is>
      </c>
      <c r="B11" t="inlineStr" s="1">
        <is>
          <t xml:space="preserve">CSV</t>
        </is>
      </c>
      <c r="C11" t="inlineStr" s="1">
        <is>
          <t xml:space="preserve">Controlled component covered by the manifest</t>
        </is>
      </c>
    </row>
    <row r="12">
      <c r="A12" t="inlineStr" s="1">
        <is>
          <t xml:space="preserve">Measurement and Meter Register.csv</t>
        </is>
      </c>
      <c r="B12" t="inlineStr" s="1">
        <is>
          <t xml:space="preserve">CSV</t>
        </is>
      </c>
      <c r="C12" t="inlineStr" s="1">
        <is>
          <t xml:space="preserve">Controlled component covered by the manifest</t>
        </is>
      </c>
    </row>
    <row r="13">
      <c r="A13" t="inlineStr" s="1">
        <is>
          <t xml:space="preserve">Activity Data Ledger.csv</t>
        </is>
      </c>
      <c r="B13" t="inlineStr" s="1">
        <is>
          <t xml:space="preserve">CSV</t>
        </is>
      </c>
      <c r="C13" t="inlineStr" s="1">
        <is>
          <t xml:space="preserve">Controlled component covered by the manifest</t>
        </is>
      </c>
    </row>
    <row r="14">
      <c r="A14" t="inlineStr" s="1">
        <is>
          <t xml:space="preserve">Evidence Register.csv</t>
        </is>
      </c>
      <c r="B14" t="inlineStr" s="1">
        <is>
          <t xml:space="preserve">CSV</t>
        </is>
      </c>
      <c r="C14" t="inlineStr" s="1">
        <is>
          <t xml:space="preserve">Controlled component covered by the manifest</t>
        </is>
      </c>
    </row>
    <row r="15">
      <c r="A15" t="inlineStr" s="1">
        <is>
          <t xml:space="preserve">Field-to-Evidence Matrix.csv</t>
        </is>
      </c>
      <c r="B15" t="inlineStr" s="1">
        <is>
          <t xml:space="preserve">CSV</t>
        </is>
      </c>
      <c r="C15" t="inlineStr" s="1">
        <is>
          <t xml:space="preserve">Controlled component covered by the manifest</t>
        </is>
      </c>
    </row>
    <row r="16">
      <c r="A16" t="inlineStr" s="1">
        <is>
          <t xml:space="preserve">Methodology Decision Log.pdf</t>
        </is>
      </c>
      <c r="B16" t="inlineStr" s="1">
        <is>
          <t xml:space="preserve">PDF</t>
        </is>
      </c>
      <c r="C16" t="inlineStr" s="1">
        <is>
          <t xml:space="preserve">Controlled component covered by the manifest</t>
        </is>
      </c>
    </row>
    <row r="17">
      <c r="A17" t="inlineStr" s="1">
        <is>
          <t xml:space="preserve">Embedded Emissions Calculation Annex.pdf</t>
        </is>
      </c>
      <c r="B17" t="inlineStr" s="1">
        <is>
          <t xml:space="preserve">PDF</t>
        </is>
      </c>
      <c r="C17" t="inlineStr" s="1">
        <is>
          <t xml:space="preserve">Controlled component covered by the manifest</t>
        </is>
      </c>
    </row>
    <row r="18">
      <c r="A18" t="inlineStr" s="1">
        <is>
          <t xml:space="preserve">Operator Emissions Report.pdf</t>
        </is>
      </c>
      <c r="B18" t="inlineStr" s="1">
        <is>
          <t xml:space="preserve">PDF</t>
        </is>
      </c>
      <c r="C18" t="inlineStr" s="1">
        <is>
          <t xml:space="preserve">Controlled component covered by the manifest</t>
        </is>
      </c>
    </row>
    <row r="19">
      <c r="A19" t="inlineStr" s="1">
        <is>
          <t xml:space="preserve">Misstatement and Non-Conformity Register.csv</t>
        </is>
      </c>
      <c r="B19" t="inlineStr" s="1">
        <is>
          <t xml:space="preserve">CSV</t>
        </is>
      </c>
      <c r="C19" t="inlineStr" s="1">
        <is>
          <t xml:space="preserve">Controlled component covered by the manifest</t>
        </is>
      </c>
    </row>
    <row r="20">
      <c r="A20" t="inlineStr" s="1">
        <is>
          <t xml:space="preserve">Corrective Action Log.csv</t>
        </is>
      </c>
      <c r="B20" t="inlineStr" s="1">
        <is>
          <t xml:space="preserve">CSV</t>
        </is>
      </c>
      <c r="C20" t="inlineStr" s="1">
        <is>
          <t xml:space="preserve">Controlled component covered by the manifest</t>
        </is>
      </c>
    </row>
    <row r="21">
      <c r="A21" t="inlineStr" s="1">
        <is>
          <t xml:space="preserve">O3CI Field Mapping.csv</t>
        </is>
      </c>
      <c r="B21" t="inlineStr" s="1">
        <is>
          <t xml:space="preserve">CSV</t>
        </is>
      </c>
      <c r="C21" t="inlineStr" s="1">
        <is>
          <t xml:space="preserve">Controlled component covered by the manifest</t>
        </is>
      </c>
    </row>
    <row r="22">
      <c r="A22" t="inlineStr" s="1">
        <is>
          <t xml:space="preserve">Calculation Trace.json</t>
        </is>
      </c>
      <c r="B22" t="inlineStr" s="1">
        <is>
          <t xml:space="preserve">JSON</t>
        </is>
      </c>
      <c r="C22" t="inlineStr" s="1">
        <is>
          <t xml:space="preserve">Calculation node trace with per-node hashes</t>
        </is>
      </c>
    </row>
    <row r="23">
      <c r="A23" t="inlineStr" s="1">
        <is>
          <t xml:space="preserve">Calculation Graph.json</t>
        </is>
      </c>
      <c r="B23" t="inlineStr" s="1">
        <is>
          <t xml:space="preserve">JSON</t>
        </is>
      </c>
      <c r="C23" t="inlineStr" s="1">
        <is>
          <t xml:space="preserve">Calculation graph nodes with hashes and root hash</t>
        </is>
      </c>
    </row>
    <row r="24">
      <c r="A24" t="inlineStr" s="1">
        <is>
          <t xml:space="preserve">Verifier Workspace.xlsx</t>
        </is>
      </c>
      <c r="B24" t="inlineStr" s="1">
        <is>
          <t xml:space="preserve">XLSX</t>
        </is>
      </c>
      <c r="C24" t="inlineStr" s="1">
        <is>
          <t xml:space="preserve">Interactive verifier navigation workbook</t>
        </is>
      </c>
    </row>
    <row r="25">
      <c r="A25" t="inlineStr" s="1">
        <is>
          <t xml:space="preserve">Data Integrity Manifest.json</t>
        </is>
      </c>
      <c r="B25" t="inlineStr" s="1">
        <is>
          <t xml:space="preserve">JSON</t>
        </is>
      </c>
      <c r="C25" t="inlineStr" s="1">
        <is>
          <t xml:space="preserve">Manifest of hashes; sealed by the KMS signature</t>
        </is>
      </c>
    </row>
    <row r="26">
      <c r="A26" t="inlineStr" s="1">
        <is>
          <t xml:space="preserve">Manifest Signature.sig</t>
        </is>
      </c>
      <c r="B26" t="inlineStr" s="1">
        <is>
          <t xml:space="preserve">SIG</t>
        </is>
      </c>
      <c r="C26" t="inlineStr" s="1">
        <is>
          <t xml:space="preserve">Detached KMS signature over the manifest</t>
        </is>
      </c>
    </row>
    <row r="27">
      <c r="A27" t="inlineStr" s="1">
        <is>
          <t xml:space="preserve">Supporting_Evidence/</t>
        </is>
      </c>
      <c r="B27" t="inlineStr" s="1">
        <is>
          <t xml:space="preserve">DIR</t>
        </is>
      </c>
      <c r="C27" t="inlineStr" s="1">
        <is>
          <t xml:space="preserve">Controlled component covered by the manifest</t>
        </is>
      </c>
    </row>
  </sheetData>
  <autoFilter ref="A1:C27"/>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31.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13" customWidth="1"/>
    <col min="2" max="2" width="16" customWidth="1"/>
    <col min="3" max="3" width="20" customWidth="1"/>
    <col min="4" max="4" width="58" customWidth="1"/>
    <col min="5" max="5" width="14" customWidth="1"/>
    <col min="6" max="6" width="12" customWidth="1"/>
    <col min="7" max="7" width="12" customWidth="1"/>
    <col min="8" max="8" width="56" customWidth="1"/>
    <col min="9" max="9" width="16" customWidth="1"/>
  </cols>
  <sheetData>
    <row r="1" ht="24" customHeight="1">
      <c r="A1" t="inlineStr" s="3">
        <is>
          <t xml:space="preserve">Register</t>
        </is>
      </c>
      <c r="B1" t="inlineStr" s="3">
        <is>
          <t xml:space="preserve">Risk ID</t>
        </is>
      </c>
      <c r="C1" t="inlineStr" s="3">
        <is>
          <t xml:space="preserve">Data domain</t>
        </is>
      </c>
      <c r="D1" t="inlineStr" s="3">
        <is>
          <t xml:space="preserve">Risk description</t>
        </is>
      </c>
      <c r="E1" t="inlineStr" s="3">
        <is>
          <t xml:space="preserve">Likelihood</t>
        </is>
      </c>
      <c r="F1" t="inlineStr" s="3">
        <is>
          <t xml:space="preserve">Impact</t>
        </is>
      </c>
      <c r="G1" t="inlineStr" s="3">
        <is>
          <t xml:space="preserve">Combined</t>
        </is>
      </c>
      <c r="H1" t="inlineStr" s="3">
        <is>
          <t xml:space="preserve">Mitigating control</t>
        </is>
      </c>
      <c r="I1" t="inlineStr" s="3">
        <is>
          <t xml:space="preserve">State</t>
        </is>
      </c>
    </row>
    <row r="2">
      <c r="A2" t="inlineStr" s="1">
        <is>
          <t xml:space="preserve">INHERENT</t>
        </is>
      </c>
      <c r="B2" t="inlineStr" s="1">
        <is>
          <t xml:space="preserve">IR-DOM_DIRECT_EMISSIONS</t>
        </is>
      </c>
      <c r="C2" t="inlineStr" s="1">
        <is>
          <t xml:space="preserve">DOM_DIRECT_EMISSIONS</t>
        </is>
      </c>
      <c r="D2" t="inlineStr" s="1">
        <is>
          <t xml:space="preserve">Inherent risk of material misstatement in Installation direct emissions activity data</t>
        </is>
      </c>
      <c r="E2" t="inlineStr" s="5">
        <is>
          <t xml:space="preserve">LOW</t>
        </is>
      </c>
      <c r="F2" t="inlineStr" s="7">
        <is>
          <t xml:space="preserve">HIGH</t>
        </is>
      </c>
      <c r="G2" t="inlineStr" s="5">
        <is>
          <t xml:space="preserve">LOW</t>
        </is>
      </c>
      <c r="H2" t="inlineStr" s="1">
        <is>
          <t xml:space="preserve">Primary measured data with documentary evidence</t>
        </is>
      </c>
      <c r="I2" t="inlineStr" s="1">
        <is>
          <t xml:space="preserve">ASSESSED</t>
        </is>
      </c>
    </row>
    <row r="3">
      <c r="A3" t="inlineStr" s="1">
        <is>
          <t xml:space="preserve">INHERENT</t>
        </is>
      </c>
      <c r="B3" t="inlineStr" s="1">
        <is>
          <t xml:space="preserve">IR-DOM_ELECTRICITY</t>
        </is>
      </c>
      <c r="C3" t="inlineStr" s="1">
        <is>
          <t xml:space="preserve">DOM_ELECTRICITY</t>
        </is>
      </c>
      <c r="D3" t="inlineStr" s="1">
        <is>
          <t xml:space="preserve">Inherent risk of material misstatement in Electricity consumption activity data</t>
        </is>
      </c>
      <c r="E3" t="inlineStr" s="5">
        <is>
          <t xml:space="preserve">LOW</t>
        </is>
      </c>
      <c r="F3" t="inlineStr" s="6">
        <is>
          <t xml:space="preserve">MODERATE</t>
        </is>
      </c>
      <c r="G3" t="inlineStr" s="5">
        <is>
          <t xml:space="preserve">LOW</t>
        </is>
      </c>
      <c r="H3" t="inlineStr" s="1">
        <is>
          <t xml:space="preserve">Primary measured data with documentary evidence</t>
        </is>
      </c>
      <c r="I3" t="inlineStr" s="1">
        <is>
          <t xml:space="preserve">ASSESSED</t>
        </is>
      </c>
    </row>
    <row r="4">
      <c r="A4" t="inlineStr" s="1">
        <is>
          <t xml:space="preserve">INHERENT</t>
        </is>
      </c>
      <c r="B4" t="inlineStr" s="1">
        <is>
          <t xml:space="preserve">IR-DOM_GRID_FACTOR</t>
        </is>
      </c>
      <c r="C4" t="inlineStr" s="1">
        <is>
          <t xml:space="preserve">DOM_GRID_FACTOR</t>
        </is>
      </c>
      <c r="D4" t="inlineStr" s="1">
        <is>
          <t xml:space="preserve">Inherent risk of material misstatement in Grid emission factor selection</t>
        </is>
      </c>
      <c r="E4" t="inlineStr" s="5">
        <is>
          <t xml:space="preserve">LOW</t>
        </is>
      </c>
      <c r="F4" t="inlineStr" s="6">
        <is>
          <t xml:space="preserve">MODERATE</t>
        </is>
      </c>
      <c r="G4" t="inlineStr" s="5">
        <is>
          <t xml:space="preserve">LOW</t>
        </is>
      </c>
      <c r="H4" t="inlineStr" s="1">
        <is>
          <t xml:space="preserve">Primary measured data with documentary evidence</t>
        </is>
      </c>
      <c r="I4" t="inlineStr" s="1">
        <is>
          <t xml:space="preserve">ASSESSED</t>
        </is>
      </c>
    </row>
    <row r="5">
      <c r="A5" t="inlineStr" s="1">
        <is>
          <t xml:space="preserve">INHERENT</t>
        </is>
      </c>
      <c r="B5" t="inlineStr" s="1">
        <is>
          <t xml:space="preserve">IR-DOM_GOODS</t>
        </is>
      </c>
      <c r="C5" t="inlineStr" s="1">
        <is>
          <t xml:space="preserve">DOM_GOODS</t>
        </is>
      </c>
      <c r="D5" t="inlineStr" s="1">
        <is>
          <t xml:space="preserve">Inherent risk of material misstatement in CN-coded goods population, production volumes and allocation shares</t>
        </is>
      </c>
      <c r="E5" t="inlineStr" s="7">
        <is>
          <t xml:space="preserve">HIGH</t>
        </is>
      </c>
      <c r="F5" t="inlineStr" s="7">
        <is>
          <t xml:space="preserve">HIGH</t>
        </is>
      </c>
      <c r="G5" t="inlineStr" s="7">
        <is>
          <t xml:space="preserve">HIGH</t>
        </is>
      </c>
      <c r="H5" t="inlineStr" s="1">
        <is>
          <t xml:space="preserve">Primary measured data with documentary evidence</t>
        </is>
      </c>
      <c r="I5" t="inlineStr" s="1">
        <is>
          <t xml:space="preserve">ASSESSED</t>
        </is>
      </c>
    </row>
    <row r="6">
      <c r="A6" t="inlineStr" s="1">
        <is>
          <t xml:space="preserve">INHERENT</t>
        </is>
      </c>
      <c r="B6" t="inlineStr" s="1">
        <is>
          <t xml:space="preserve">IR-DOM_PRECURSORS</t>
        </is>
      </c>
      <c r="C6" t="inlineStr" s="1">
        <is>
          <t xml:space="preserve">DOM_PRECURSORS</t>
        </is>
      </c>
      <c r="D6" t="inlineStr" s="1">
        <is>
          <t xml:space="preserve">Inherent risk of material misstatement in Precursor quantities and embedded emissions</t>
        </is>
      </c>
      <c r="E6" t="inlineStr" s="7">
        <is>
          <t xml:space="preserve">HIGH</t>
        </is>
      </c>
      <c r="F6" t="inlineStr" s="6">
        <is>
          <t xml:space="preserve">MODERATE</t>
        </is>
      </c>
      <c r="G6" t="inlineStr" s="7">
        <is>
          <t xml:space="preserve">HIGH</t>
        </is>
      </c>
      <c r="H6" t="inlineStr" s="1">
        <is>
          <t xml:space="preserve">Primary measured data with documentary evidence</t>
        </is>
      </c>
      <c r="I6" t="inlineStr" s="1">
        <is>
          <t xml:space="preserve">ASSESSED</t>
        </is>
      </c>
    </row>
    <row r="7">
      <c r="A7" t="inlineStr" s="1">
        <is>
          <t xml:space="preserve">INHERENT</t>
        </is>
      </c>
      <c r="B7" t="inlineStr" s="1">
        <is>
          <t xml:space="preserve">IR-DOM_CARBON_PRICE</t>
        </is>
      </c>
      <c r="C7" t="inlineStr" s="1">
        <is>
          <t xml:space="preserve">DOM_CARBON_PRICE</t>
        </is>
      </c>
      <c r="D7" t="inlineStr" s="1">
        <is>
          <t xml:space="preserve">Inherent risk of material misstatement in Carbon price paid records (Article 9)</t>
        </is>
      </c>
      <c r="E7" t="inlineStr" s="7">
        <is>
          <t xml:space="preserve">HIGH</t>
        </is>
      </c>
      <c r="F7" t="inlineStr" s="6">
        <is>
          <t xml:space="preserve">MODERATE</t>
        </is>
      </c>
      <c r="G7" t="inlineStr" s="7">
        <is>
          <t xml:space="preserve">HIGH</t>
        </is>
      </c>
      <c r="H7" t="inlineStr" s="1">
        <is>
          <t xml:space="preserve">Primary measured data with documentary evidence</t>
        </is>
      </c>
      <c r="I7" t="inlineStr" s="1">
        <is>
          <t xml:space="preserve">ASSESSED</t>
        </is>
      </c>
    </row>
    <row r="8">
      <c r="A8" t="inlineStr" s="1">
        <is>
          <t xml:space="preserve">INHERENT</t>
        </is>
      </c>
      <c r="B8" t="inlineStr" s="1">
        <is>
          <t xml:space="preserve">IR-DOM_EVIDENCE</t>
        </is>
      </c>
      <c r="C8" t="inlineStr" s="1">
        <is>
          <t xml:space="preserve">DOM_EVIDENCE</t>
        </is>
      </c>
      <c r="D8" t="inlineStr" s="1">
        <is>
          <t xml:space="preserve">Inherent risk of material misstatement in Evidence register integrity and linkage</t>
        </is>
      </c>
      <c r="E8" t="inlineStr" s="7">
        <is>
          <t xml:space="preserve">HIGH</t>
        </is>
      </c>
      <c r="F8" t="inlineStr" s="6">
        <is>
          <t xml:space="preserve">MODERATE</t>
        </is>
      </c>
      <c r="G8" t="inlineStr" s="7">
        <is>
          <t xml:space="preserve">HIGH</t>
        </is>
      </c>
      <c r="H8" t="inlineStr" s="1">
        <is>
          <t xml:space="preserve">Primary measured data with documentary evidence</t>
        </is>
      </c>
      <c r="I8" t="inlineStr" s="1">
        <is>
          <t xml:space="preserve">ASSESSED</t>
        </is>
      </c>
    </row>
    <row r="9">
      <c r="A9" t="inlineStr" s="1">
        <is>
          <t xml:space="preserve">CONTROL</t>
        </is>
      </c>
      <c r="B9" t="inlineStr" s="1">
        <is>
          <t xml:space="preserve">CR-DOM_DIRECT_EMISSIONS</t>
        </is>
      </c>
      <c r="C9" t="inlineStr" s="1">
        <is>
          <t xml:space="preserve">DOM_DIRECT_EMISSIONS</t>
        </is>
      </c>
      <c r="D9" t="inlineStr" s="1">
        <is>
          <t xml:space="preserve">Operator control over Installation direct emissions activity data</t>
        </is>
      </c>
      <c r="E9" t="inlineStr" s="5">
        <is>
          <t xml:space="preserve">LOW</t>
        </is>
      </c>
      <c r="F9" t="inlineStr" s="6">
        <is>
          <t xml:space="preserve">MODERATE</t>
        </is>
      </c>
      <c r="G9" t="inlineStr" s="5">
        <is>
          <t xml:space="preserve">LOW</t>
        </is>
      </c>
      <c r="H9" t="inlineStr" s="1">
        <is>
          <t xml:space="preserve">Evidence review gate: APPROVED + SUPPORTED + CLEAN + hashed linkage</t>
        </is>
      </c>
      <c r="I9" t="inlineStr" s="1">
        <is>
          <t xml:space="preserve">ASSESSED</t>
        </is>
      </c>
    </row>
    <row r="10">
      <c r="A10" t="inlineStr" s="1">
        <is>
          <t xml:space="preserve">CONTROL</t>
        </is>
      </c>
      <c r="B10" t="inlineStr" s="1">
        <is>
          <t xml:space="preserve">CR-DOM_ELECTRICITY</t>
        </is>
      </c>
      <c r="C10" t="inlineStr" s="1">
        <is>
          <t xml:space="preserve">DOM_ELECTRICITY</t>
        </is>
      </c>
      <c r="D10" t="inlineStr" s="1">
        <is>
          <t xml:space="preserve">Operator control over Electricity consumption activity data</t>
        </is>
      </c>
      <c r="E10" t="inlineStr" s="5">
        <is>
          <t xml:space="preserve">LOW</t>
        </is>
      </c>
      <c r="F10" t="inlineStr" s="6">
        <is>
          <t xml:space="preserve">MODERATE</t>
        </is>
      </c>
      <c r="G10" t="inlineStr" s="5">
        <is>
          <t xml:space="preserve">LOW</t>
        </is>
      </c>
      <c r="H10" t="inlineStr" s="1">
        <is>
          <t xml:space="preserve">Evidence review gate: APPROVED + SUPPORTED + CLEAN + hashed linkage</t>
        </is>
      </c>
      <c r="I10" t="inlineStr" s="1">
        <is>
          <t xml:space="preserve">ASSESSED</t>
        </is>
      </c>
    </row>
    <row r="11">
      <c r="A11" t="inlineStr" s="1">
        <is>
          <t xml:space="preserve">CONTROL</t>
        </is>
      </c>
      <c r="B11" t="inlineStr" s="1">
        <is>
          <t xml:space="preserve">CR-DOM_GRID_FACTOR</t>
        </is>
      </c>
      <c r="C11" t="inlineStr" s="1">
        <is>
          <t xml:space="preserve">DOM_GRID_FACTOR</t>
        </is>
      </c>
      <c r="D11" t="inlineStr" s="1">
        <is>
          <t xml:space="preserve">Operator control over Grid emission factor selection</t>
        </is>
      </c>
      <c r="E11" t="inlineStr" s="5">
        <is>
          <t xml:space="preserve">LOW</t>
        </is>
      </c>
      <c r="F11" t="inlineStr" s="6">
        <is>
          <t xml:space="preserve">MODERATE</t>
        </is>
      </c>
      <c r="G11" t="inlineStr" s="5">
        <is>
          <t xml:space="preserve">LOW</t>
        </is>
      </c>
      <c r="H11" t="inlineStr" s="1">
        <is>
          <t xml:space="preserve">Evidence review gate: APPROVED + SUPPORTED + CLEAN + hashed linkage</t>
        </is>
      </c>
      <c r="I11" t="inlineStr" s="1">
        <is>
          <t xml:space="preserve">ASSESSED</t>
        </is>
      </c>
    </row>
    <row r="12">
      <c r="A12" t="inlineStr" s="1">
        <is>
          <t xml:space="preserve">CONTROL</t>
        </is>
      </c>
      <c r="B12" t="inlineStr" s="1">
        <is>
          <t xml:space="preserve">CR-DOM_GOODS</t>
        </is>
      </c>
      <c r="C12" t="inlineStr" s="1">
        <is>
          <t xml:space="preserve">DOM_GOODS</t>
        </is>
      </c>
      <c r="D12" t="inlineStr" s="1">
        <is>
          <t xml:space="preserve">Operator control over CN-coded goods population, production volumes and allocation shares</t>
        </is>
      </c>
      <c r="E12" t="inlineStr" s="7">
        <is>
          <t xml:space="preserve">HIGH</t>
        </is>
      </c>
      <c r="F12" t="inlineStr" s="6">
        <is>
          <t xml:space="preserve">MODERATE</t>
        </is>
      </c>
      <c r="G12" t="inlineStr" s="7">
        <is>
          <t xml:space="preserve">HIGH</t>
        </is>
      </c>
      <c r="H12" t="inlineStr" s="1">
        <is>
          <t xml:space="preserve">Evidence review gate: APPROVED + SUPPORTED + CLEAN + hashed linkage</t>
        </is>
      </c>
      <c r="I12" t="inlineStr" s="1">
        <is>
          <t xml:space="preserve">ASSESSED</t>
        </is>
      </c>
    </row>
    <row r="13">
      <c r="A13" t="inlineStr" s="1">
        <is>
          <t xml:space="preserve">CONTROL</t>
        </is>
      </c>
      <c r="B13" t="inlineStr" s="1">
        <is>
          <t xml:space="preserve">CR-DOM_PRECURSORS</t>
        </is>
      </c>
      <c r="C13" t="inlineStr" s="1">
        <is>
          <t xml:space="preserve">DOM_PRECURSORS</t>
        </is>
      </c>
      <c r="D13" t="inlineStr" s="1">
        <is>
          <t xml:space="preserve">Operator control over Precursor quantities and embedded emissions</t>
        </is>
      </c>
      <c r="E13" t="inlineStr" s="7">
        <is>
          <t xml:space="preserve">HIGH</t>
        </is>
      </c>
      <c r="F13" t="inlineStr" s="6">
        <is>
          <t xml:space="preserve">MODERATE</t>
        </is>
      </c>
      <c r="G13" t="inlineStr" s="7">
        <is>
          <t xml:space="preserve">HIGH</t>
        </is>
      </c>
      <c r="H13" t="inlineStr" s="1">
        <is>
          <t xml:space="preserve">Evidence review gate: APPROVED + SUPPORTED + CLEAN + hashed linkage</t>
        </is>
      </c>
      <c r="I13" t="inlineStr" s="1">
        <is>
          <t xml:space="preserve">ASSESSED</t>
        </is>
      </c>
    </row>
    <row r="14">
      <c r="A14" t="inlineStr" s="1">
        <is>
          <t xml:space="preserve">CONTROL</t>
        </is>
      </c>
      <c r="B14" t="inlineStr" s="1">
        <is>
          <t xml:space="preserve">CR-DOM_CARBON_PRICE</t>
        </is>
      </c>
      <c r="C14" t="inlineStr" s="1">
        <is>
          <t xml:space="preserve">DOM_CARBON_PRICE</t>
        </is>
      </c>
      <c r="D14" t="inlineStr" s="1">
        <is>
          <t xml:space="preserve">Operator control over Carbon price paid records (Article 9)</t>
        </is>
      </c>
      <c r="E14" t="inlineStr" s="7">
        <is>
          <t xml:space="preserve">HIGH</t>
        </is>
      </c>
      <c r="F14" t="inlineStr" s="6">
        <is>
          <t xml:space="preserve">MODERATE</t>
        </is>
      </c>
      <c r="G14" t="inlineStr" s="7">
        <is>
          <t xml:space="preserve">HIGH</t>
        </is>
      </c>
      <c r="H14" t="inlineStr" s="1">
        <is>
          <t xml:space="preserve">Evidence review gate: APPROVED + SUPPORTED + CLEAN + hashed linkage</t>
        </is>
      </c>
      <c r="I14" t="inlineStr" s="1">
        <is>
          <t xml:space="preserve">ASSESSED</t>
        </is>
      </c>
    </row>
    <row r="15">
      <c r="A15" t="inlineStr" s="1">
        <is>
          <t xml:space="preserve">CONTROL</t>
        </is>
      </c>
      <c r="B15" t="inlineStr" s="1">
        <is>
          <t xml:space="preserve">CR-DOM_EVIDENCE</t>
        </is>
      </c>
      <c r="C15" t="inlineStr" s="1">
        <is>
          <t xml:space="preserve">DOM_EVIDENCE</t>
        </is>
      </c>
      <c r="D15" t="inlineStr" s="1">
        <is>
          <t xml:space="preserve">Operator control over Evidence register integrity and linkage</t>
        </is>
      </c>
      <c r="E15" t="inlineStr" s="7">
        <is>
          <t xml:space="preserve">HIGH</t>
        </is>
      </c>
      <c r="F15" t="inlineStr" s="7">
        <is>
          <t xml:space="preserve">HIGH</t>
        </is>
      </c>
      <c r="G15" t="inlineStr" s="7">
        <is>
          <t xml:space="preserve">HIGH</t>
        </is>
      </c>
      <c r="H15" t="inlineStr" s="1">
        <is>
          <t xml:space="preserve">Evidence review gate: APPROVED + SUPPORTED + CLEAN + hashed linkage</t>
        </is>
      </c>
      <c r="I15" t="inlineStr" s="1">
        <is>
          <t xml:space="preserve">ASSESSED</t>
        </is>
      </c>
    </row>
    <row r="16">
      <c r="A16" t="inlineStr" s="1">
        <is>
          <t xml:space="preserve">DETECTION</t>
        </is>
      </c>
      <c r="B16" t="inlineStr" s="1">
        <is>
          <t xml:space="preserve">DR-DOM_DIRECT_EMISSIONS</t>
        </is>
      </c>
      <c r="C16" t="inlineStr" s="1">
        <is>
          <t xml:space="preserve">DOM_DIRECT_EMISSIONS</t>
        </is>
      </c>
      <c r="D16" t="inlineStr" s="1">
        <is>
          <t xml:space="preserve">Residual detection risk for Installation direct emissions activity data</t>
        </is>
      </c>
      <c r="E16" t="inlineStr" s="5">
        <is>
          <t xml:space="preserve">LOW</t>
        </is>
      </c>
      <c r="F16" t="inlineStr" s="7">
        <is>
          <t xml:space="preserve">HIGH</t>
        </is>
      </c>
      <c r="G16" t="inlineStr" s="5">
        <is>
          <t xml:space="preserve">LOW</t>
        </is>
      </c>
      <c r="H16" t="inlineStr" s="1">
        <is>
          <t xml:space="preserve">Routine verifier planning</t>
        </is>
      </c>
      <c r="I16" t="inlineStr" s="1">
        <is>
          <t xml:space="preserve">ASSESSED</t>
        </is>
      </c>
    </row>
    <row r="17">
      <c r="A17" t="inlineStr" s="1">
        <is>
          <t xml:space="preserve">DETECTION</t>
        </is>
      </c>
      <c r="B17" t="inlineStr" s="1">
        <is>
          <t xml:space="preserve">DR-DOM_ELECTRICITY</t>
        </is>
      </c>
      <c r="C17" t="inlineStr" s="1">
        <is>
          <t xml:space="preserve">DOM_ELECTRICITY</t>
        </is>
      </c>
      <c r="D17" t="inlineStr" s="1">
        <is>
          <t xml:space="preserve">Residual detection risk for Electricity consumption activity data</t>
        </is>
      </c>
      <c r="E17" t="inlineStr" s="5">
        <is>
          <t xml:space="preserve">LOW</t>
        </is>
      </c>
      <c r="F17" t="inlineStr" s="6">
        <is>
          <t xml:space="preserve">MODERATE</t>
        </is>
      </c>
      <c r="G17" t="inlineStr" s="5">
        <is>
          <t xml:space="preserve">LOW</t>
        </is>
      </c>
      <c r="H17" t="inlineStr" s="1">
        <is>
          <t xml:space="preserve">Routine verifier planning</t>
        </is>
      </c>
      <c r="I17" t="inlineStr" s="1">
        <is>
          <t xml:space="preserve">ASSESSED</t>
        </is>
      </c>
    </row>
    <row r="18">
      <c r="A18" t="inlineStr" s="1">
        <is>
          <t xml:space="preserve">DETECTION</t>
        </is>
      </c>
      <c r="B18" t="inlineStr" s="1">
        <is>
          <t xml:space="preserve">DR-DOM_GRID_FACTOR</t>
        </is>
      </c>
      <c r="C18" t="inlineStr" s="1">
        <is>
          <t xml:space="preserve">DOM_GRID_FACTOR</t>
        </is>
      </c>
      <c r="D18" t="inlineStr" s="1">
        <is>
          <t xml:space="preserve">Residual detection risk for Grid emission factor selection</t>
        </is>
      </c>
      <c r="E18" t="inlineStr" s="5">
        <is>
          <t xml:space="preserve">LOW</t>
        </is>
      </c>
      <c r="F18" t="inlineStr" s="6">
        <is>
          <t xml:space="preserve">MODERATE</t>
        </is>
      </c>
      <c r="G18" t="inlineStr" s="5">
        <is>
          <t xml:space="preserve">LOW</t>
        </is>
      </c>
      <c r="H18" t="inlineStr" s="1">
        <is>
          <t xml:space="preserve">Routine verifier planning</t>
        </is>
      </c>
      <c r="I18" t="inlineStr" s="1">
        <is>
          <t xml:space="preserve">ASSESSED</t>
        </is>
      </c>
    </row>
    <row r="19">
      <c r="A19" t="inlineStr" s="1">
        <is>
          <t xml:space="preserve">DETECTION</t>
        </is>
      </c>
      <c r="B19" t="inlineStr" s="1">
        <is>
          <t xml:space="preserve">DR-DOM_GOODS</t>
        </is>
      </c>
      <c r="C19" t="inlineStr" s="1">
        <is>
          <t xml:space="preserve">DOM_GOODS</t>
        </is>
      </c>
      <c r="D19" t="inlineStr" s="1">
        <is>
          <t xml:space="preserve">Residual detection risk for CN-coded goods population, production volumes and allocation shares</t>
        </is>
      </c>
      <c r="E19" t="inlineStr" s="7">
        <is>
          <t xml:space="preserve">HIGH</t>
        </is>
      </c>
      <c r="F19" t="inlineStr" s="7">
        <is>
          <t xml:space="preserve">HIGH</t>
        </is>
      </c>
      <c r="G19" t="inlineStr" s="7">
        <is>
          <t xml:space="preserve">HIGH</t>
        </is>
      </c>
      <c r="H19" t="inlineStr" s="1">
        <is>
          <t xml:space="preserve">Escalate to verifier planning: sampling, recalculation or physical inspection</t>
        </is>
      </c>
      <c r="I19" t="inlineStr" s="1">
        <is>
          <t xml:space="preserve">ASSESSED</t>
        </is>
      </c>
    </row>
    <row r="20">
      <c r="A20" t="inlineStr" s="1">
        <is>
          <t xml:space="preserve">DETECTION</t>
        </is>
      </c>
      <c r="B20" t="inlineStr" s="1">
        <is>
          <t xml:space="preserve">DR-DOM_PRECURSORS</t>
        </is>
      </c>
      <c r="C20" t="inlineStr" s="1">
        <is>
          <t xml:space="preserve">DOM_PRECURSORS</t>
        </is>
      </c>
      <c r="D20" t="inlineStr" s="1">
        <is>
          <t xml:space="preserve">Residual detection risk for Precursor quantities and embedded emissions</t>
        </is>
      </c>
      <c r="E20" t="inlineStr" s="7">
        <is>
          <t xml:space="preserve">HIGH</t>
        </is>
      </c>
      <c r="F20" t="inlineStr" s="6">
        <is>
          <t xml:space="preserve">MODERATE</t>
        </is>
      </c>
      <c r="G20" t="inlineStr" s="7">
        <is>
          <t xml:space="preserve">HIGH</t>
        </is>
      </c>
      <c r="H20" t="inlineStr" s="1">
        <is>
          <t xml:space="preserve">Escalate to verifier planning: sampling, recalculation or physical inspection</t>
        </is>
      </c>
      <c r="I20" t="inlineStr" s="1">
        <is>
          <t xml:space="preserve">ASSESSED</t>
        </is>
      </c>
    </row>
    <row r="21">
      <c r="A21" t="inlineStr" s="1">
        <is>
          <t xml:space="preserve">DETECTION</t>
        </is>
      </c>
      <c r="B21" t="inlineStr" s="1">
        <is>
          <t xml:space="preserve">DR-DOM_CARBON_PRICE</t>
        </is>
      </c>
      <c r="C21" t="inlineStr" s="1">
        <is>
          <t xml:space="preserve">DOM_CARBON_PRICE</t>
        </is>
      </c>
      <c r="D21" t="inlineStr" s="1">
        <is>
          <t xml:space="preserve">Residual detection risk for Carbon price paid records (Article 9)</t>
        </is>
      </c>
      <c r="E21" t="inlineStr" s="7">
        <is>
          <t xml:space="preserve">HIGH</t>
        </is>
      </c>
      <c r="F21" t="inlineStr" s="6">
        <is>
          <t xml:space="preserve">MODERATE</t>
        </is>
      </c>
      <c r="G21" t="inlineStr" s="7">
        <is>
          <t xml:space="preserve">HIGH</t>
        </is>
      </c>
      <c r="H21" t="inlineStr" s="1">
        <is>
          <t xml:space="preserve">Escalate to verifier planning: sampling, recalculation or physical inspection</t>
        </is>
      </c>
      <c r="I21" t="inlineStr" s="1">
        <is>
          <t xml:space="preserve">ASSESSED</t>
        </is>
      </c>
    </row>
    <row r="22">
      <c r="A22" t="inlineStr" s="1">
        <is>
          <t xml:space="preserve">DETECTION</t>
        </is>
      </c>
      <c r="B22" t="inlineStr" s="1">
        <is>
          <t xml:space="preserve">DR-DOM_EVIDENCE</t>
        </is>
      </c>
      <c r="C22" t="inlineStr" s="1">
        <is>
          <t xml:space="preserve">DOM_EVIDENCE</t>
        </is>
      </c>
      <c r="D22" t="inlineStr" s="1">
        <is>
          <t xml:space="preserve">Residual detection risk for Evidence register integrity and linkage</t>
        </is>
      </c>
      <c r="E22" t="inlineStr" s="7">
        <is>
          <t xml:space="preserve">HIGH</t>
        </is>
      </c>
      <c r="F22" t="inlineStr" s="6">
        <is>
          <t xml:space="preserve">MODERATE</t>
        </is>
      </c>
      <c r="G22" t="inlineStr" s="7">
        <is>
          <t xml:space="preserve">HIGH</t>
        </is>
      </c>
      <c r="H22" t="inlineStr" s="1">
        <is>
          <t xml:space="preserve">Escalate to verifier planning: sampling, recalculation or physical inspection</t>
        </is>
      </c>
      <c r="I22" t="inlineStr" s="1">
        <is>
          <t xml:space="preserve">ASSESSED</t>
        </is>
      </c>
    </row>
  </sheetData>
  <autoFilter ref="A1:I22"/>
  <sheetProtection sheet="1" objects="1" scenarios="1" selectLockedCells="1" selectUnlockedCells="1" formatCells="0" formatColumns="0" formatRows="0" insertColumns="0" insertRows="0" insertHyperlinks="0" deleteColumns="0" deleteRows="0" sort="0" autoFilter="0" pivotTables="0"/>
  <conditionalFormatting sqref="I2:I1048576">
    <cfRule type="containsText" dxfId="0" priority="1" operator="containsText" text="PASS">
      <formula>NOT(ISERROR(SEARCH("PASS",I2)))</formula>
    </cfRule>
    <cfRule type="containsText" dxfId="0" priority="2" operator="containsText" text="DOCUMENTED">
      <formula>NOT(ISERROR(SEARCH("DOCUMENTED",I2)))</formula>
    </cfRule>
    <cfRule type="containsText" dxfId="1" priority="3" operator="containsText" text="WARNING">
      <formula>NOT(ISERROR(SEARCH("WARNING",I2)))</formula>
    </cfRule>
    <cfRule type="containsText" dxfId="2" priority="4" operator="containsText" text="BLOCKER">
      <formula>NOT(ISERROR(SEARCH("BLOCKER",I2)))</formula>
    </cfRule>
    <cfRule type="containsText" dxfId="2" priority="5" operator="containsText" text="GAP">
      <formula>NOT(ISERROR(SEARCH("GAP",I2)))</formula>
    </cfRule>
  </conditionalFormatting>
  <printOptions horizontalCentered="0" verticalCentered="0"/>
  <pageMargins left="0.25" right="0.25" top="0.5" bottom="0.5" header="0.2" footer="0.2"/>
  <pageSetup orientation="landscape" fitToWidth="1" fitToHeight="0" paperSize="9"/>
</worksheet>
</file>

<file path=xl/worksheets/sheet32.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10" customWidth="1"/>
    <col min="2" max="2" width="14" customWidth="1"/>
    <col min="3" max="3" width="20" customWidth="1"/>
    <col min="4" max="4" width="18" customWidth="1"/>
    <col min="5" max="5" width="22" customWidth="1"/>
    <col min="6" max="6" width="60" customWidth="1"/>
    <col min="7" max="7" width="70" customWidth="1"/>
    <col min="8" max="8" width="80" customWidth="1"/>
    <col min="9" max="9" width="38" customWidth="1"/>
  </cols>
  <sheetData>
    <row r="1" ht="24" customHeight="1">
      <c r="A1" t="inlineStr" s="3">
        <is>
          <t xml:space="preserve">Good</t>
        </is>
      </c>
      <c r="B1" t="inlineStr" s="3">
        <is>
          <t xml:space="preserve">CN code</t>
        </is>
      </c>
      <c r="C1" t="inlineStr" s="3">
        <is>
          <t xml:space="preserve">Specific tCO2e/t</t>
        </is>
      </c>
      <c r="D1" t="inlineStr" s="3">
        <is>
          <t xml:space="preserve">Planning rate %</t>
        </is>
      </c>
      <c r="E1" t="inlineStr" s="3">
        <is>
          <t xml:space="preserve">Threshold tCO2e/t</t>
        </is>
      </c>
      <c r="F1" t="inlineStr" s="3">
        <is>
          <t xml:space="preserve">Regulatory basis</t>
        </is>
      </c>
      <c r="G1" t="inlineStr" s="3">
        <is>
          <t xml:space="preserve">Calculation basis</t>
        </is>
      </c>
      <c r="H1" t="inlineStr" s="3">
        <is>
          <t xml:space="preserve">Expert judgement</t>
        </is>
      </c>
      <c r="I1" t="inlineStr" s="3">
        <is>
          <t xml:space="preserve">Verifier status</t>
        </is>
      </c>
    </row>
    <row r="2">
      <c r="A2" s="8">
        <v>1</v>
      </c>
      <c r="B2" t="inlineStr" s="1">
        <is>
          <t xml:space="preserve">72011011</t>
        </is>
      </c>
      <c r="C2" s="8">
        <v>0.8</v>
      </c>
      <c r="D2" s="8">
        <v>5</v>
      </c>
      <c r="E2" s="8">
        <v>0.04</v>
      </c>
      <c r="F2" t="inlineStr" s="1">
        <is>
          <t xml:space="preserve">Commission Implementing Regulation (EU) 2025/2547 Annex IV planning requirements; ISO 14064-3:2019 section 5.3 (planning materiality).</t>
        </is>
      </c>
      <c r="G2" t="inlineStr" s="1">
        <is>
          <t xml:space="preserve">Specific embedded emissions × documented planning threshold rate (5%), rounded to 6 decimal places.</t>
        </is>
      </c>
      <c r="H2" t="inlineStr" s="1">
        <is>
          <t xml:space="preserve">Operator-prepared planning materiality for verifier planning only. The verifier confirms, revises or replaces the threshold during planning; no assurance conclusion is implied.</t>
        </is>
      </c>
      <c r="I2" t="inlineStr" s="6">
        <is>
          <t xml:space="preserve">PROVISIONAL_FOR_VERIFIER_PLANNING</t>
        </is>
      </c>
    </row>
    <row r="3">
      <c r="A3" s="8">
        <v>2</v>
      </c>
      <c r="B3" t="inlineStr" s="1">
        <is>
          <t xml:space="preserve">72011019</t>
        </is>
      </c>
      <c r="C3" s="8">
        <v>0.8</v>
      </c>
      <c r="D3" s="8">
        <v>5</v>
      </c>
      <c r="E3" s="8">
        <v>0.04</v>
      </c>
      <c r="F3" t="inlineStr" s="1">
        <is>
          <t xml:space="preserve">Commission Implementing Regulation (EU) 2025/2547 Annex IV planning requirements; ISO 14064-3:2019 section 5.3 (planning materiality).</t>
        </is>
      </c>
      <c r="G3" t="inlineStr" s="1">
        <is>
          <t xml:space="preserve">Specific embedded emissions × documented planning threshold rate (5%), rounded to 6 decimal places.</t>
        </is>
      </c>
      <c r="H3" t="inlineStr" s="1">
        <is>
          <t xml:space="preserve">Operator-prepared planning materiality for verifier planning only. The verifier confirms, revises or replaces the threshold during planning; no assurance conclusion is implied.</t>
        </is>
      </c>
      <c r="I3" t="inlineStr" s="6">
        <is>
          <t xml:space="preserve">PROVISIONAL_FOR_VERIFIER_PLANNING</t>
        </is>
      </c>
    </row>
  </sheetData>
  <autoFilter ref="A1:I3"/>
  <sheetProtection sheet="1" objects="1" scenarios="1" selectLockedCells="1" selectUnlockedCells="1" formatCells="0" formatColumns="0" formatRows="0" insertColumns="0" insertRows="0" insertHyperlinks="0" deleteColumns="0" deleteRows="0" sort="0" autoFilter="0" pivotTables="0"/>
  <conditionalFormatting sqref="I2:I1048576">
    <cfRule type="containsText" dxfId="0" priority="1" operator="containsText" text="PASS">
      <formula>NOT(ISERROR(SEARCH("PASS",I2)))</formula>
    </cfRule>
    <cfRule type="containsText" dxfId="0" priority="2" operator="containsText" text="DOCUMENTED">
      <formula>NOT(ISERROR(SEARCH("DOCUMENTED",I2)))</formula>
    </cfRule>
    <cfRule type="containsText" dxfId="1" priority="3" operator="containsText" text="WARNING">
      <formula>NOT(ISERROR(SEARCH("WARNING",I2)))</formula>
    </cfRule>
    <cfRule type="containsText" dxfId="2" priority="4" operator="containsText" text="BLOCKER">
      <formula>NOT(ISERROR(SEARCH("BLOCKER",I2)))</formula>
    </cfRule>
    <cfRule type="containsText" dxfId="2" priority="5" operator="containsText" text="GAP">
      <formula>NOT(ISERROR(SEARCH("GAP",I2)))</formula>
    </cfRule>
  </conditionalFormatting>
  <printOptions horizontalCentered="0" verticalCentered="0"/>
  <pageMargins left="0.25" right="0.25" top="0.5" bottom="0.5" header="0.2" footer="0.2"/>
  <pageSetup orientation="landscape" fitToWidth="1" fitToHeight="0" paperSize="9"/>
</worksheet>
</file>

<file path=xl/worksheets/sheet33.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22" customWidth="1"/>
    <col min="2" max="2" width="16" customWidth="1"/>
    <col min="3" max="3" width="14" customWidth="1"/>
    <col min="4" max="4" width="60" customWidth="1"/>
    <col min="5" max="5" width="30" customWidth="1"/>
    <col min="6" max="6" width="90" customWidth="1"/>
  </cols>
  <sheetData>
    <row r="1" ht="24" customHeight="1">
      <c r="A1" t="inlineStr" s="3">
        <is>
          <t xml:space="preserve">Population domain</t>
        </is>
      </c>
      <c r="B1" t="inlineStr" s="3">
        <is>
          <t xml:space="preserve">Population</t>
        </is>
      </c>
      <c r="C1" t="inlineStr" s="3">
        <is>
          <t xml:space="preserve">Sample</t>
        </is>
      </c>
      <c r="D1" t="inlineStr" s="3">
        <is>
          <t xml:space="preserve">Selection method</t>
        </is>
      </c>
      <c r="E1" t="inlineStr" s="3">
        <is>
          <t xml:space="preserve">State</t>
        </is>
      </c>
      <c r="F1" t="inlineStr" s="3">
        <is>
          <t xml:space="preserve">Rationale</t>
        </is>
      </c>
    </row>
    <row r="2">
      <c r="A2" t="inlineStr" s="1">
        <is>
          <t xml:space="preserve">GOODS</t>
        </is>
      </c>
      <c r="B2" s="8">
        <v>2</v>
      </c>
      <c r="C2" s="8">
        <v>1</v>
      </c>
      <c r="D2" t="inlineStr" s="1">
        <is>
          <t xml:space="preserve">Every declared good plus all precursor-linked goods; stratify by production share</t>
        </is>
      </c>
      <c r="E2" t="inlineStr" s="5">
        <is>
          <t xml:space="preserve">OPERATOR_PROPOSED</t>
        </is>
      </c>
      <c r="F2" t="inlineStr" s="1">
        <is>
          <t xml:space="preserve">Goods form the reporting unit for specific embedded emissions; population equals declared CN-coded goods.</t>
        </is>
      </c>
    </row>
    <row r="3">
      <c r="A3" t="inlineStr" s="1">
        <is>
          <t xml:space="preserve">EVIDENCE</t>
        </is>
      </c>
      <c r="B3" s="8">
        <v>5</v>
      </c>
      <c r="C3" s="8">
        <v>5</v>
      </c>
      <c r="D3" t="inlineStr" s="1">
        <is>
          <t xml:space="preserve">All material-requirement evidence plus random corroboration sample</t>
        </is>
      </c>
      <c r="E3" t="inlineStr" s="5">
        <is>
          <t xml:space="preserve">OPERATOR_PROPOSED</t>
        </is>
      </c>
      <c r="F3" t="inlineStr" s="1">
        <is>
          <t xml:space="preserve">Evidence population covers every material requirement; sampling targets material rows and cross-cutting integrity checks.</t>
        </is>
      </c>
    </row>
    <row r="4">
      <c r="A4" t="inlineStr" s="1">
        <is>
          <t xml:space="preserve">CALCULATION_TRACE</t>
        </is>
      </c>
      <c r="B4" s="8">
        <v>0</v>
      </c>
      <c r="C4" s="8">
        <v>0</v>
      </c>
      <c r="D4" t="inlineStr" s="1">
        <is>
          <t xml:space="preserve">NOT_ASSESSED</t>
        </is>
      </c>
      <c r="E4" t="inlineStr" s="7">
        <is>
          <t xml:space="preserve">NOT_ASSESSED</t>
        </is>
      </c>
      <c r="F4" t="inlineStr" s="1">
        <is>
          <t xml:space="preserve">The sealed calculation trace is deterministic and replayable; verifier recomputation covers 100% of nodes.</t>
        </is>
      </c>
    </row>
  </sheetData>
  <autoFilter ref="A1:F4"/>
  <sheetProtection sheet="1" objects="1" scenarios="1" selectLockedCells="1" selectUnlockedCells="1" formatCells="0" formatColumns="0" formatRows="0" insertColumns="0" insertRows="0" insertHyperlinks="0" deleteColumns="0" deleteRows="0" sort="0" autoFilter="0" pivotTables="0"/>
  <conditionalFormatting sqref="E2:E1048576">
    <cfRule type="containsText" dxfId="0" priority="1" operator="containsText" text="PASS">
      <formula>NOT(ISERROR(SEARCH("PASS",E2)))</formula>
    </cfRule>
    <cfRule type="containsText" dxfId="0" priority="2" operator="containsText" text="DOCUMENTED">
      <formula>NOT(ISERROR(SEARCH("DOCUMENTED",E2)))</formula>
    </cfRule>
    <cfRule type="containsText" dxfId="1" priority="3" operator="containsText" text="WARNING">
      <formula>NOT(ISERROR(SEARCH("WARNING",E2)))</formula>
    </cfRule>
    <cfRule type="containsText" dxfId="2" priority="4" operator="containsText" text="BLOCKER">
      <formula>NOT(ISERROR(SEARCH("BLOCKER",E2)))</formula>
    </cfRule>
    <cfRule type="containsText" dxfId="2" priority="5" operator="containsText" text="GAP">
      <formula>NOT(ISERROR(SEARCH("GAP",E2)))</formula>
    </cfRule>
  </conditionalFormatting>
  <printOptions horizontalCentered="0" verticalCentered="0"/>
  <pageMargins left="0.25" right="0.25" top="0.5" bottom="0.5" header="0.2" footer="0.2"/>
  <pageSetup orientation="landscape" fitToWidth="1" fitToHeight="0" paperSize="9"/>
</worksheet>
</file>

<file path=xl/worksheets/sheet34.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2" customWidth="1"/>
    <col min="2" max="2" width="70" customWidth="1"/>
    <col min="3" max="3" width="42" customWidth="1"/>
    <col min="4" max="4" width="68" customWidth="1"/>
  </cols>
  <sheetData>
    <row r="1" ht="24" customHeight="1">
      <c r="A1" t="inlineStr" s="3">
        <is>
          <t xml:space="preserve">Verifier-controlled field</t>
        </is>
      </c>
      <c r="B1" t="inlineStr" s="3">
        <is>
          <t xml:space="preserve">Value</t>
        </is>
      </c>
      <c r="C1" t="inlineStr" s="3">
        <is>
          <t xml:space="preserve">Control</t>
        </is>
      </c>
      <c r="D1" t="inlineStr" s="3">
        <is>
          <t xml:space="preserve">Value</t>
        </is>
      </c>
    </row>
    <row r="2">
      <c r="A2" t="inlineStr" s="4">
        <is>
          <t xml:space="preserve">Review status</t>
        </is>
      </c>
      <c r="B2" t="inlineStr" s="10">
        <is>
          <t xml:space="preserve">NOT_REVIEWED</t>
        </is>
      </c>
      <c r="C2" t="inlineStr" s="4">
        <is>
          <t xml:space="preserve">Package automated readiness</t>
        </is>
      </c>
      <c r="D2" t="inlineStr" s="5">
        <is>
          <t xml:space="preserve">READY_FOR_INDEPENDENT_VERIFICATION</t>
        </is>
      </c>
    </row>
    <row r="3">
      <c r="A3" t="inlineStr" s="4">
        <is>
          <t xml:space="preserve">Verifier legal entity</t>
        </is>
      </c>
      <c r="B3" t="inlineStr" s="10">
        <is>
          <t xml:space="preserve"/>
        </is>
      </c>
      <c r="C3" t="inlineStr" s="4">
        <is>
          <t xml:space="preserve">Accreditation body</t>
        </is>
      </c>
      <c r="D3" t="inlineStr" s="10">
        <is>
          <t xml:space="preserve"/>
        </is>
      </c>
    </row>
    <row r="4">
      <c r="A4" t="inlineStr" s="4">
        <is>
          <t xml:space="preserve">Lead verifier</t>
        </is>
      </c>
      <c r="B4" t="inlineStr" s="10">
        <is>
          <t xml:space="preserve"/>
        </is>
      </c>
      <c r="C4" t="inlineStr" s="4">
        <is>
          <t xml:space="preserve">Accreditation number</t>
        </is>
      </c>
      <c r="D4" t="inlineStr" s="10">
        <is>
          <t xml:space="preserve"/>
        </is>
      </c>
    </row>
    <row r="5">
      <c r="A5" t="inlineStr" s="4">
        <is>
          <t xml:space="preserve">Review start date</t>
        </is>
      </c>
      <c r="B5" t="inlineStr" s="10">
        <is>
          <t xml:space="preserve"/>
        </is>
      </c>
      <c r="C5" t="inlineStr" s="4">
        <is>
          <t xml:space="preserve">Review completion date</t>
        </is>
      </c>
      <c r="D5" t="inlineStr" s="10">
        <is>
          <t xml:space="preserve"/>
        </is>
      </c>
    </row>
    <row r="6">
      <c r="A6" t="inlineStr" s="4">
        <is>
          <t xml:space="preserve">Physical / virtual site visit</t>
        </is>
      </c>
      <c r="B6" t="inlineStr" s="10">
        <is>
          <t xml:space="preserve"/>
        </is>
      </c>
      <c r="C6" t="inlineStr" s="4">
        <is>
          <t xml:space="preserve">Site visit date</t>
        </is>
      </c>
      <c r="D6" t="inlineStr" s="10">
        <is>
          <t xml:space="preserve"/>
        </is>
      </c>
    </row>
    <row r="7">
      <c r="A7" t="inlineStr" s="4">
        <is>
          <t xml:space="preserve">Materiality rate</t>
        </is>
      </c>
      <c r="B7" t="inlineStr" s="1">
        <is>
          <t xml:space="preserve">5% per good (PROVISIONAL_FOR_VERIFIER_PLANNING)</t>
        </is>
      </c>
      <c r="C7" t="inlineStr" s="4">
        <is>
          <t xml:space="preserve">Reasonable assurance</t>
        </is>
      </c>
      <c r="D7" t="inlineStr" s="10">
        <is>
          <t xml:space="preserve">NOT_ASSESSED</t>
        </is>
      </c>
    </row>
    <row r="8">
      <c r="A8" t="inlineStr" s="4">
        <is>
          <t xml:space="preserve">Independent opinion</t>
        </is>
      </c>
      <c r="B8" t="inlineStr" s="10">
        <is>
          <t xml:space="preserve">NO_OPINION</t>
        </is>
      </c>
      <c r="C8" t="inlineStr" s="4">
        <is>
          <t xml:space="preserve">Findings closure</t>
        </is>
      </c>
      <c r="D8" t="inlineStr" s="10">
        <is>
          <t xml:space="preserve">OPEN</t>
        </is>
      </c>
    </row>
    <row r="9">
      <c r="A9" t="inlineStr" s="4">
        <is>
          <t xml:space="preserve">Verifier conclusion</t>
        </is>
      </c>
      <c r="B9" t="inlineStr" s="10">
        <is>
          <t xml:space="preserve"/>
        </is>
      </c>
      <c r="C9" t="inlineStr" s="4">
        <is>
          <t xml:space="preserve">Verifier signature reference</t>
        </is>
      </c>
      <c r="D9" t="inlineStr" s="10">
        <is>
          <t xml:space="preserve"/>
        </is>
      </c>
    </row>
    <row r="10">
      <c r="A10" t="inlineStr" s="4">
        <is>
          <t xml:space="preserve">Boundary notice</t>
        </is>
      </c>
      <c r="B10" t="inlineStr" s="1">
        <is>
          <t xml:space="preserve">CBAMValid does not populate or assert verifier-controlled fields. Completion requires an independent accredited verifier.</t>
        </is>
      </c>
    </row>
  </sheetData>
  <sheetProtection sheet="1" objects="1" scenarios="1" selectLockedCells="1" selectUnlockedCells="1" formatCells="0" formatColumns="0" formatRows="0" insertColumns="0" insertRows="0" insertHyperlinks="0" deleteColumns="0" deleteRows="0" sort="0" autoFilter="0" pivotTables="0"/>
  <dataValidations count="3">
    <dataValidation type="list" allowBlank="0" showInputMessage="1" showErrorMessage="1" errorStyle="stop" sqref="B2" promptTitle="Controlled value" prompt="Independent verifier review status" errorTitle="Invalid controlled value" error="Select a value from the approved list.">
      <formula1>"NOT_REVIEWED,IN_REVIEW,ACCEPTED,REJECTED"</formula1>
    </dataValidation>
    <dataValidation type="list" allowBlank="0" showInputMessage="1" showErrorMessage="1" errorStyle="stop" sqref="B8" promptTitle="Controlled value" prompt="Independent verification opinion" errorTitle="Invalid controlled value" error="Select a value from the approved list.">
      <formula1>"NO_OPINION,SATISFACTORY,SATISFACTORY_WITH_COMMENTS,NOT_SATISFACTORY"</formula1>
    </dataValidation>
    <dataValidation type="list" allowBlank="0" showInputMessage="1" showErrorMessage="1" errorStyle="stop" sqref="D8" promptTitle="Controlled value" prompt="Findings closure status" errorTitle="Invalid controlled value" error="Select a value from the approved list.">
      <formula1>"OPEN,IN_PROGRESS,CLOSED"</formula1>
    </dataValidation>
  </dataValidations>
  <printOptions horizontalCentered="0" verticalCentered="0"/>
  <pageMargins left="0.25" right="0.25" top="0.5" bottom="0.5" header="0.2" footer="0.2"/>
  <pageSetup orientation="portrait" fitToWidth="1" fitToHeight="0" paperSize="9"/>
</worksheet>
</file>